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mco\Dropbox\Matthew's Files\Rowan 2021-22\Recycling Research\Old versions of EoL GUI\Uncertainty Testing\"/>
    </mc:Choice>
  </mc:AlternateContent>
  <xr:revisionPtr revIDLastSave="0" documentId="8_{5EA93AF5-9FCB-445B-8AFC-7F025EBC9D56}" xr6:coauthVersionLast="47" xr6:coauthVersionMax="47" xr10:uidLastSave="{00000000-0000-0000-0000-000000000000}"/>
  <bookViews>
    <workbookView xWindow="-108" yWindow="-108" windowWidth="23256" windowHeight="12456" xr2:uid="{6FD38C4D-6F55-4C00-A122-A28857133207}"/>
  </bookViews>
  <sheets>
    <sheet name="montecarlo numb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0" i="1" l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57" i="1" a="1"/>
  <c r="F57" i="1" s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H5" i="1" a="1"/>
  <c r="H5" i="1" s="1"/>
  <c r="E5" i="1"/>
  <c r="D5" i="1"/>
  <c r="E4" i="1"/>
  <c r="D4" i="1"/>
  <c r="G3" i="1" a="1"/>
  <c r="G3" i="1" s="1"/>
  <c r="F58" i="1" s="1"/>
  <c r="E3" i="1"/>
  <c r="D3" i="1"/>
  <c r="G2" i="1" a="1"/>
  <c r="G2" i="1" s="1"/>
  <c r="H1" i="1"/>
  <c r="H1" i="1" a="1"/>
  <c r="P58" i="1" l="1"/>
  <c r="P59" i="1" s="1"/>
  <c r="H58" i="1"/>
  <c r="H59" i="1" s="1"/>
  <c r="W58" i="1"/>
  <c r="W59" i="1" s="1"/>
  <c r="O58" i="1"/>
  <c r="O59" i="1" s="1"/>
  <c r="G58" i="1"/>
  <c r="G59" i="1" s="1"/>
  <c r="V58" i="1"/>
  <c r="V59" i="1" s="1"/>
  <c r="N58" i="1"/>
  <c r="N59" i="1" s="1"/>
  <c r="U58" i="1"/>
  <c r="U59" i="1" s="1"/>
  <c r="M58" i="1"/>
  <c r="M59" i="1" s="1"/>
  <c r="S58" i="1"/>
  <c r="S59" i="1" s="1"/>
  <c r="K58" i="1"/>
  <c r="K59" i="1" s="1"/>
  <c r="J58" i="1"/>
  <c r="J59" i="1" s="1"/>
  <c r="I58" i="1"/>
  <c r="I59" i="1" s="1"/>
  <c r="T58" i="1"/>
  <c r="T59" i="1" s="1"/>
  <c r="R58" i="1"/>
  <c r="R59" i="1" s="1"/>
  <c r="L58" i="1"/>
  <c r="L59" i="1" s="1"/>
  <c r="Q58" i="1"/>
  <c r="Q59" i="1" s="1"/>
  <c r="H4" i="1" a="1"/>
  <c r="U55" i="1" l="1"/>
  <c r="M55" i="1"/>
  <c r="V54" i="1"/>
  <c r="N54" i="1"/>
  <c r="W53" i="1"/>
  <c r="O53" i="1"/>
  <c r="X52" i="1"/>
  <c r="P52" i="1"/>
  <c r="Q51" i="1"/>
  <c r="I51" i="1"/>
  <c r="R50" i="1"/>
  <c r="J50" i="1"/>
  <c r="S49" i="1"/>
  <c r="K49" i="1"/>
  <c r="T48" i="1"/>
  <c r="L48" i="1"/>
  <c r="U47" i="1"/>
  <c r="M47" i="1"/>
  <c r="V46" i="1"/>
  <c r="N46" i="1"/>
  <c r="W45" i="1"/>
  <c r="O45" i="1"/>
  <c r="X44" i="1"/>
  <c r="P44" i="1"/>
  <c r="Q43" i="1"/>
  <c r="I43" i="1"/>
  <c r="R42" i="1"/>
  <c r="J42" i="1"/>
  <c r="S41" i="1"/>
  <c r="K41" i="1"/>
  <c r="T40" i="1"/>
  <c r="L40" i="1"/>
  <c r="U39" i="1"/>
  <c r="M39" i="1"/>
  <c r="V38" i="1"/>
  <c r="N38" i="1"/>
  <c r="W37" i="1"/>
  <c r="O37" i="1"/>
  <c r="X36" i="1"/>
  <c r="P36" i="1"/>
  <c r="Q35" i="1"/>
  <c r="I35" i="1"/>
  <c r="R34" i="1"/>
  <c r="J34" i="1"/>
  <c r="S33" i="1"/>
  <c r="K33" i="1"/>
  <c r="T32" i="1"/>
  <c r="L32" i="1"/>
  <c r="U31" i="1"/>
  <c r="M31" i="1"/>
  <c r="V30" i="1"/>
  <c r="N30" i="1"/>
  <c r="W29" i="1"/>
  <c r="O29" i="1"/>
  <c r="X28" i="1"/>
  <c r="P28" i="1"/>
  <c r="Q27" i="1"/>
  <c r="I27" i="1"/>
  <c r="R26" i="1"/>
  <c r="J26" i="1"/>
  <c r="S25" i="1"/>
  <c r="K25" i="1"/>
  <c r="T24" i="1"/>
  <c r="L24" i="1"/>
  <c r="U23" i="1"/>
  <c r="M23" i="1"/>
  <c r="V22" i="1"/>
  <c r="N22" i="1"/>
  <c r="W21" i="1"/>
  <c r="O21" i="1"/>
  <c r="X20" i="1"/>
  <c r="P20" i="1"/>
  <c r="Q19" i="1"/>
  <c r="I19" i="1"/>
  <c r="T18" i="1"/>
  <c r="T55" i="1"/>
  <c r="L55" i="1"/>
  <c r="U54" i="1"/>
  <c r="M54" i="1"/>
  <c r="V53" i="1"/>
  <c r="N53" i="1"/>
  <c r="W52" i="1"/>
  <c r="O52" i="1"/>
  <c r="X51" i="1"/>
  <c r="P51" i="1"/>
  <c r="Q50" i="1"/>
  <c r="I50" i="1"/>
  <c r="R49" i="1"/>
  <c r="J49" i="1"/>
  <c r="S48" i="1"/>
  <c r="K48" i="1"/>
  <c r="T47" i="1"/>
  <c r="L47" i="1"/>
  <c r="U46" i="1"/>
  <c r="M46" i="1"/>
  <c r="V45" i="1"/>
  <c r="N45" i="1"/>
  <c r="W44" i="1"/>
  <c r="O44" i="1"/>
  <c r="X43" i="1"/>
  <c r="P43" i="1"/>
  <c r="Q42" i="1"/>
  <c r="I42" i="1"/>
  <c r="R41" i="1"/>
  <c r="J41" i="1"/>
  <c r="S40" i="1"/>
  <c r="K40" i="1"/>
  <c r="T39" i="1"/>
  <c r="L39" i="1"/>
  <c r="U38" i="1"/>
  <c r="M38" i="1"/>
  <c r="S55" i="1"/>
  <c r="K55" i="1"/>
  <c r="T54" i="1"/>
  <c r="L54" i="1"/>
  <c r="U53" i="1"/>
  <c r="M53" i="1"/>
  <c r="V52" i="1"/>
  <c r="N52" i="1"/>
  <c r="W51" i="1"/>
  <c r="O51" i="1"/>
  <c r="X50" i="1"/>
  <c r="P50" i="1"/>
  <c r="Q49" i="1"/>
  <c r="I49" i="1"/>
  <c r="R48" i="1"/>
  <c r="J48" i="1"/>
  <c r="S47" i="1"/>
  <c r="K47" i="1"/>
  <c r="T46" i="1"/>
  <c r="L46" i="1"/>
  <c r="U45" i="1"/>
  <c r="M45" i="1"/>
  <c r="V44" i="1"/>
  <c r="N44" i="1"/>
  <c r="W43" i="1"/>
  <c r="O43" i="1"/>
  <c r="X42" i="1"/>
  <c r="P42" i="1"/>
  <c r="Q41" i="1"/>
  <c r="I41" i="1"/>
  <c r="R40" i="1"/>
  <c r="J40" i="1"/>
  <c r="S39" i="1"/>
  <c r="K39" i="1"/>
  <c r="T38" i="1"/>
  <c r="L38" i="1"/>
  <c r="U37" i="1"/>
  <c r="M37" i="1"/>
  <c r="V36" i="1"/>
  <c r="N36" i="1"/>
  <c r="W35" i="1"/>
  <c r="O35" i="1"/>
  <c r="X34" i="1"/>
  <c r="P34" i="1"/>
  <c r="Q33" i="1"/>
  <c r="I33" i="1"/>
  <c r="R32" i="1"/>
  <c r="J32" i="1"/>
  <c r="S31" i="1"/>
  <c r="K31" i="1"/>
  <c r="T30" i="1"/>
  <c r="L30" i="1"/>
  <c r="U29" i="1"/>
  <c r="M29" i="1"/>
  <c r="V28" i="1"/>
  <c r="N28" i="1"/>
  <c r="W27" i="1"/>
  <c r="O27" i="1"/>
  <c r="X26" i="1"/>
  <c r="P26" i="1"/>
  <c r="Q25" i="1"/>
  <c r="I25" i="1"/>
  <c r="R24" i="1"/>
  <c r="J24" i="1"/>
  <c r="S23" i="1"/>
  <c r="K23" i="1"/>
  <c r="T22" i="1"/>
  <c r="L22" i="1"/>
  <c r="U21" i="1"/>
  <c r="M21" i="1"/>
  <c r="X55" i="1"/>
  <c r="P55" i="1"/>
  <c r="Q54" i="1"/>
  <c r="I54" i="1"/>
  <c r="R53" i="1"/>
  <c r="J53" i="1"/>
  <c r="S52" i="1"/>
  <c r="K52" i="1"/>
  <c r="T51" i="1"/>
  <c r="L51" i="1"/>
  <c r="U50" i="1"/>
  <c r="M50" i="1"/>
  <c r="V49" i="1"/>
  <c r="N49" i="1"/>
  <c r="W48" i="1"/>
  <c r="O48" i="1"/>
  <c r="X47" i="1"/>
  <c r="P47" i="1"/>
  <c r="Q46" i="1"/>
  <c r="I46" i="1"/>
  <c r="R45" i="1"/>
  <c r="J45" i="1"/>
  <c r="S44" i="1"/>
  <c r="K44" i="1"/>
  <c r="T43" i="1"/>
  <c r="L43" i="1"/>
  <c r="U42" i="1"/>
  <c r="M42" i="1"/>
  <c r="V41" i="1"/>
  <c r="N41" i="1"/>
  <c r="W40" i="1"/>
  <c r="O40" i="1"/>
  <c r="X39" i="1"/>
  <c r="P39" i="1"/>
  <c r="N55" i="1"/>
  <c r="O54" i="1"/>
  <c r="P53" i="1"/>
  <c r="Q52" i="1"/>
  <c r="R51" i="1"/>
  <c r="S50" i="1"/>
  <c r="T49" i="1"/>
  <c r="U48" i="1"/>
  <c r="V47" i="1"/>
  <c r="W46" i="1"/>
  <c r="X45" i="1"/>
  <c r="I44" i="1"/>
  <c r="J43" i="1"/>
  <c r="K42" i="1"/>
  <c r="L41" i="1"/>
  <c r="M40" i="1"/>
  <c r="N39" i="1"/>
  <c r="P38" i="1"/>
  <c r="T37" i="1"/>
  <c r="J37" i="1"/>
  <c r="Q36" i="1"/>
  <c r="V35" i="1"/>
  <c r="L35" i="1"/>
  <c r="S34" i="1"/>
  <c r="X33" i="1"/>
  <c r="N33" i="1"/>
  <c r="U32" i="1"/>
  <c r="I32" i="1"/>
  <c r="P31" i="1"/>
  <c r="W30" i="1"/>
  <c r="K30" i="1"/>
  <c r="R29" i="1"/>
  <c r="M28" i="1"/>
  <c r="T27" i="1"/>
  <c r="J27" i="1"/>
  <c r="O26" i="1"/>
  <c r="V25" i="1"/>
  <c r="L25" i="1"/>
  <c r="Q24" i="1"/>
  <c r="X23" i="1"/>
  <c r="N23" i="1"/>
  <c r="S22" i="1"/>
  <c r="I22" i="1"/>
  <c r="P21" i="1"/>
  <c r="V20" i="1"/>
  <c r="M20" i="1"/>
  <c r="U19" i="1"/>
  <c r="L19" i="1"/>
  <c r="V18" i="1"/>
  <c r="M18" i="1"/>
  <c r="X17" i="1"/>
  <c r="P17" i="1"/>
  <c r="S16" i="1"/>
  <c r="K16" i="1"/>
  <c r="V15" i="1"/>
  <c r="N15" i="1"/>
  <c r="Q14" i="1"/>
  <c r="I14" i="1"/>
  <c r="T13" i="1"/>
  <c r="L13" i="1"/>
  <c r="W12" i="1"/>
  <c r="O12" i="1"/>
  <c r="R11" i="1"/>
  <c r="J11" i="1"/>
  <c r="U10" i="1"/>
  <c r="M10" i="1"/>
  <c r="X9" i="1"/>
  <c r="P9" i="1"/>
  <c r="S8" i="1"/>
  <c r="K8" i="1"/>
  <c r="V7" i="1"/>
  <c r="N7" i="1"/>
  <c r="Q6" i="1"/>
  <c r="I6" i="1"/>
  <c r="H4" i="1"/>
  <c r="J54" i="1"/>
  <c r="O34" i="1"/>
  <c r="L33" i="1"/>
  <c r="J55" i="1"/>
  <c r="K54" i="1"/>
  <c r="L53" i="1"/>
  <c r="M52" i="1"/>
  <c r="N51" i="1"/>
  <c r="O50" i="1"/>
  <c r="P49" i="1"/>
  <c r="Q48" i="1"/>
  <c r="R47" i="1"/>
  <c r="S46" i="1"/>
  <c r="T45" i="1"/>
  <c r="U44" i="1"/>
  <c r="V43" i="1"/>
  <c r="W42" i="1"/>
  <c r="X41" i="1"/>
  <c r="I40" i="1"/>
  <c r="J39" i="1"/>
  <c r="O38" i="1"/>
  <c r="S37" i="1"/>
  <c r="I37" i="1"/>
  <c r="O36" i="1"/>
  <c r="U35" i="1"/>
  <c r="K35" i="1"/>
  <c r="Q34" i="1"/>
  <c r="W33" i="1"/>
  <c r="M33" i="1"/>
  <c r="S32" i="1"/>
  <c r="O31" i="1"/>
  <c r="U30" i="1"/>
  <c r="J30" i="1"/>
  <c r="Q29" i="1"/>
  <c r="W28" i="1"/>
  <c r="L28" i="1"/>
  <c r="S27" i="1"/>
  <c r="N26" i="1"/>
  <c r="U25" i="1"/>
  <c r="J25" i="1"/>
  <c r="P24" i="1"/>
  <c r="W23" i="1"/>
  <c r="L23" i="1"/>
  <c r="R22" i="1"/>
  <c r="N21" i="1"/>
  <c r="U20" i="1"/>
  <c r="L20" i="1"/>
  <c r="T19" i="1"/>
  <c r="K19" i="1"/>
  <c r="U18" i="1"/>
  <c r="L18" i="1"/>
  <c r="W17" i="1"/>
  <c r="O17" i="1"/>
  <c r="R16" i="1"/>
  <c r="J16" i="1"/>
  <c r="U15" i="1"/>
  <c r="M15" i="1"/>
  <c r="X14" i="1"/>
  <c r="P14" i="1"/>
  <c r="S13" i="1"/>
  <c r="K13" i="1"/>
  <c r="V12" i="1"/>
  <c r="N12" i="1"/>
  <c r="Q11" i="1"/>
  <c r="I11" i="1"/>
  <c r="T10" i="1"/>
  <c r="L10" i="1"/>
  <c r="W9" i="1"/>
  <c r="O9" i="1"/>
  <c r="R8" i="1"/>
  <c r="J8" i="1"/>
  <c r="U7" i="1"/>
  <c r="M7" i="1"/>
  <c r="X6" i="1"/>
  <c r="P6" i="1"/>
  <c r="I55" i="1"/>
  <c r="K53" i="1"/>
  <c r="L52" i="1"/>
  <c r="M51" i="1"/>
  <c r="N50" i="1"/>
  <c r="O49" i="1"/>
  <c r="P48" i="1"/>
  <c r="Q47" i="1"/>
  <c r="R46" i="1"/>
  <c r="S45" i="1"/>
  <c r="T44" i="1"/>
  <c r="U43" i="1"/>
  <c r="V42" i="1"/>
  <c r="W41" i="1"/>
  <c r="X40" i="1"/>
  <c r="I39" i="1"/>
  <c r="K38" i="1"/>
  <c r="R37" i="1"/>
  <c r="M36" i="1"/>
  <c r="T35" i="1"/>
  <c r="J35" i="1"/>
  <c r="V33" i="1"/>
  <c r="Q32" i="1"/>
  <c r="W55" i="1"/>
  <c r="X54" i="1"/>
  <c r="I53" i="1"/>
  <c r="J52" i="1"/>
  <c r="K51" i="1"/>
  <c r="L50" i="1"/>
  <c r="M49" i="1"/>
  <c r="N48" i="1"/>
  <c r="O47" i="1"/>
  <c r="P46" i="1"/>
  <c r="Q45" i="1"/>
  <c r="R44" i="1"/>
  <c r="S43" i="1"/>
  <c r="T42" i="1"/>
  <c r="U41" i="1"/>
  <c r="V40" i="1"/>
  <c r="W39" i="1"/>
  <c r="X38" i="1"/>
  <c r="J38" i="1"/>
  <c r="Q37" i="1"/>
  <c r="W36" i="1"/>
  <c r="L36" i="1"/>
  <c r="S35" i="1"/>
  <c r="N34" i="1"/>
  <c r="U33" i="1"/>
  <c r="J33" i="1"/>
  <c r="P32" i="1"/>
  <c r="W31" i="1"/>
  <c r="L31" i="1"/>
  <c r="R30" i="1"/>
  <c r="N29" i="1"/>
  <c r="T28" i="1"/>
  <c r="J28" i="1"/>
  <c r="P27" i="1"/>
  <c r="V26" i="1"/>
  <c r="L26" i="1"/>
  <c r="R25" i="1"/>
  <c r="X24" i="1"/>
  <c r="N24" i="1"/>
  <c r="T23" i="1"/>
  <c r="I23" i="1"/>
  <c r="P22" i="1"/>
  <c r="V21" i="1"/>
  <c r="K21" i="1"/>
  <c r="S20" i="1"/>
  <c r="J20" i="1"/>
  <c r="R19" i="1"/>
  <c r="R18" i="1"/>
  <c r="J18" i="1"/>
  <c r="U17" i="1"/>
  <c r="M17" i="1"/>
  <c r="X16" i="1"/>
  <c r="P16" i="1"/>
  <c r="S15" i="1"/>
  <c r="K15" i="1"/>
  <c r="V14" i="1"/>
  <c r="N14" i="1"/>
  <c r="Q13" i="1"/>
  <c r="I13" i="1"/>
  <c r="T12" i="1"/>
  <c r="L12" i="1"/>
  <c r="W11" i="1"/>
  <c r="O11" i="1"/>
  <c r="R10" i="1"/>
  <c r="J10" i="1"/>
  <c r="U9" i="1"/>
  <c r="M9" i="1"/>
  <c r="X8" i="1"/>
  <c r="P8" i="1"/>
  <c r="S7" i="1"/>
  <c r="K7" i="1"/>
  <c r="V6" i="1"/>
  <c r="N6" i="1"/>
  <c r="V55" i="1"/>
  <c r="W54" i="1"/>
  <c r="X53" i="1"/>
  <c r="I52" i="1"/>
  <c r="J51" i="1"/>
  <c r="K50" i="1"/>
  <c r="L49" i="1"/>
  <c r="M48" i="1"/>
  <c r="N47" i="1"/>
  <c r="O46" i="1"/>
  <c r="P45" i="1"/>
  <c r="Q44" i="1"/>
  <c r="R43" i="1"/>
  <c r="S42" i="1"/>
  <c r="T41" i="1"/>
  <c r="U40" i="1"/>
  <c r="R55" i="1"/>
  <c r="S54" i="1"/>
  <c r="T53" i="1"/>
  <c r="U52" i="1"/>
  <c r="V51" i="1"/>
  <c r="W50" i="1"/>
  <c r="X49" i="1"/>
  <c r="I48" i="1"/>
  <c r="J47" i="1"/>
  <c r="K46" i="1"/>
  <c r="L45" i="1"/>
  <c r="M44" i="1"/>
  <c r="N43" i="1"/>
  <c r="O42" i="1"/>
  <c r="P41" i="1"/>
  <c r="Q40" i="1"/>
  <c r="R39" i="1"/>
  <c r="S38" i="1"/>
  <c r="N37" i="1"/>
  <c r="T36" i="1"/>
  <c r="J36" i="1"/>
  <c r="P35" i="1"/>
  <c r="V34" i="1"/>
  <c r="L34" i="1"/>
  <c r="R33" i="1"/>
  <c r="X32" i="1"/>
  <c r="N32" i="1"/>
  <c r="T31" i="1"/>
  <c r="I31" i="1"/>
  <c r="P30" i="1"/>
  <c r="V29" i="1"/>
  <c r="K29" i="1"/>
  <c r="R28" i="1"/>
  <c r="X27" i="1"/>
  <c r="M27" i="1"/>
  <c r="T26" i="1"/>
  <c r="I26" i="1"/>
  <c r="O25" i="1"/>
  <c r="V24" i="1"/>
  <c r="K24" i="1"/>
  <c r="Q23" i="1"/>
  <c r="X22" i="1"/>
  <c r="M22" i="1"/>
  <c r="S21" i="1"/>
  <c r="I21" i="1"/>
  <c r="Q20" i="1"/>
  <c r="X19" i="1"/>
  <c r="O19" i="1"/>
  <c r="P18" i="1"/>
  <c r="S17" i="1"/>
  <c r="K17" i="1"/>
  <c r="V16" i="1"/>
  <c r="N16" i="1"/>
  <c r="S53" i="1"/>
  <c r="W49" i="1"/>
  <c r="J46" i="1"/>
  <c r="N42" i="1"/>
  <c r="O39" i="1"/>
  <c r="L37" i="1"/>
  <c r="R35" i="1"/>
  <c r="I34" i="1"/>
  <c r="M32" i="1"/>
  <c r="T29" i="1"/>
  <c r="Q28" i="1"/>
  <c r="L27" i="1"/>
  <c r="X25" i="1"/>
  <c r="U24" i="1"/>
  <c r="P23" i="1"/>
  <c r="K22" i="1"/>
  <c r="W19" i="1"/>
  <c r="I18" i="1"/>
  <c r="L17" i="1"/>
  <c r="Q16" i="1"/>
  <c r="W15" i="1"/>
  <c r="I15" i="1"/>
  <c r="R14" i="1"/>
  <c r="X13" i="1"/>
  <c r="M13" i="1"/>
  <c r="R12" i="1"/>
  <c r="N11" i="1"/>
  <c r="W10" i="1"/>
  <c r="I10" i="1"/>
  <c r="Q9" i="1"/>
  <c r="W8" i="1"/>
  <c r="L8" i="1"/>
  <c r="Q7" i="1"/>
  <c r="L6" i="1"/>
  <c r="O7" i="1"/>
  <c r="Q55" i="1"/>
  <c r="L44" i="1"/>
  <c r="I38" i="1"/>
  <c r="O30" i="1"/>
  <c r="S26" i="1"/>
  <c r="I24" i="1"/>
  <c r="O20" i="1"/>
  <c r="T17" i="1"/>
  <c r="W14" i="1"/>
  <c r="J9" i="1"/>
  <c r="S6" i="1"/>
  <c r="M26" i="1"/>
  <c r="J19" i="1"/>
  <c r="I12" i="1"/>
  <c r="N10" i="1"/>
  <c r="W24" i="1"/>
  <c r="X15" i="1"/>
  <c r="R9" i="1"/>
  <c r="R7" i="1"/>
  <c r="M6" i="1"/>
  <c r="Q53" i="1"/>
  <c r="U49" i="1"/>
  <c r="L42" i="1"/>
  <c r="W38" i="1"/>
  <c r="K37" i="1"/>
  <c r="N35" i="1"/>
  <c r="T33" i="1"/>
  <c r="K32" i="1"/>
  <c r="X30" i="1"/>
  <c r="S29" i="1"/>
  <c r="O28" i="1"/>
  <c r="K27" i="1"/>
  <c r="W25" i="1"/>
  <c r="S24" i="1"/>
  <c r="O23" i="1"/>
  <c r="J22" i="1"/>
  <c r="W20" i="1"/>
  <c r="V19" i="1"/>
  <c r="X18" i="1"/>
  <c r="J17" i="1"/>
  <c r="O16" i="1"/>
  <c r="T15" i="1"/>
  <c r="O14" i="1"/>
  <c r="W13" i="1"/>
  <c r="J13" i="1"/>
  <c r="Q12" i="1"/>
  <c r="M11" i="1"/>
  <c r="V10" i="1"/>
  <c r="N9" i="1"/>
  <c r="V8" i="1"/>
  <c r="I8" i="1"/>
  <c r="P7" i="1"/>
  <c r="W6" i="1"/>
  <c r="K6" i="1"/>
  <c r="U6" i="1"/>
  <c r="R36" i="1"/>
  <c r="J29" i="1"/>
  <c r="N25" i="1"/>
  <c r="N19" i="1"/>
  <c r="I16" i="1"/>
  <c r="R13" i="1"/>
  <c r="Q8" i="1"/>
  <c r="U28" i="1"/>
  <c r="K20" i="1"/>
  <c r="U16" i="1"/>
  <c r="O6" i="1"/>
  <c r="P54" i="1"/>
  <c r="T50" i="1"/>
  <c r="K43" i="1"/>
  <c r="X35" i="1"/>
  <c r="O32" i="1"/>
  <c r="X29" i="1"/>
  <c r="N27" i="1"/>
  <c r="R23" i="1"/>
  <c r="J21" i="1"/>
  <c r="T16" i="1"/>
  <c r="N13" i="1"/>
  <c r="K10" i="1"/>
  <c r="T52" i="1"/>
  <c r="X48" i="1"/>
  <c r="K45" i="1"/>
  <c r="O41" i="1"/>
  <c r="R38" i="1"/>
  <c r="U36" i="1"/>
  <c r="M35" i="1"/>
  <c r="P33" i="1"/>
  <c r="X31" i="1"/>
  <c r="S30" i="1"/>
  <c r="P29" i="1"/>
  <c r="K28" i="1"/>
  <c r="W26" i="1"/>
  <c r="T25" i="1"/>
  <c r="O24" i="1"/>
  <c r="J23" i="1"/>
  <c r="X21" i="1"/>
  <c r="T20" i="1"/>
  <c r="S19" i="1"/>
  <c r="W18" i="1"/>
  <c r="I17" i="1"/>
  <c r="M16" i="1"/>
  <c r="R15" i="1"/>
  <c r="M14" i="1"/>
  <c r="V13" i="1"/>
  <c r="P12" i="1"/>
  <c r="X11" i="1"/>
  <c r="L11" i="1"/>
  <c r="S10" i="1"/>
  <c r="L9" i="1"/>
  <c r="U8" i="1"/>
  <c r="J6" i="1"/>
  <c r="U51" i="1"/>
  <c r="R21" i="1"/>
  <c r="P15" i="1"/>
  <c r="K12" i="1"/>
  <c r="P10" i="1"/>
  <c r="X7" i="1"/>
  <c r="Q39" i="1"/>
  <c r="K18" i="1"/>
  <c r="S14" i="1"/>
  <c r="P11" i="1"/>
  <c r="M8" i="1"/>
  <c r="R52" i="1"/>
  <c r="V48" i="1"/>
  <c r="I45" i="1"/>
  <c r="M41" i="1"/>
  <c r="Q38" i="1"/>
  <c r="S36" i="1"/>
  <c r="W34" i="1"/>
  <c r="O33" i="1"/>
  <c r="V31" i="1"/>
  <c r="Q30" i="1"/>
  <c r="L29" i="1"/>
  <c r="I28" i="1"/>
  <c r="U26" i="1"/>
  <c r="P25" i="1"/>
  <c r="M24" i="1"/>
  <c r="T21" i="1"/>
  <c r="R20" i="1"/>
  <c r="P19" i="1"/>
  <c r="S18" i="1"/>
  <c r="V17" i="1"/>
  <c r="L16" i="1"/>
  <c r="Q15" i="1"/>
  <c r="L14" i="1"/>
  <c r="U13" i="1"/>
  <c r="M12" i="1"/>
  <c r="V11" i="1"/>
  <c r="K11" i="1"/>
  <c r="Q10" i="1"/>
  <c r="K9" i="1"/>
  <c r="T8" i="1"/>
  <c r="L7" i="1"/>
  <c r="T6" i="1"/>
  <c r="P40" i="1"/>
  <c r="U34" i="1"/>
  <c r="R31" i="1"/>
  <c r="V27" i="1"/>
  <c r="W22" i="1"/>
  <c r="Q18" i="1"/>
  <c r="K14" i="1"/>
  <c r="U11" i="1"/>
  <c r="V9" i="1"/>
  <c r="J7" i="1"/>
  <c r="R27" i="1"/>
  <c r="N18" i="1"/>
  <c r="T14" i="1"/>
  <c r="U12" i="1"/>
  <c r="S9" i="1"/>
  <c r="T7" i="1"/>
  <c r="X46" i="1"/>
  <c r="P37" i="1"/>
  <c r="K34" i="1"/>
  <c r="J31" i="1"/>
  <c r="S28" i="1"/>
  <c r="K26" i="1"/>
  <c r="O22" i="1"/>
  <c r="I20" i="1"/>
  <c r="N17" i="1"/>
  <c r="J15" i="1"/>
  <c r="S12" i="1"/>
  <c r="X10" i="1"/>
  <c r="O55" i="1"/>
  <c r="S51" i="1"/>
  <c r="W47" i="1"/>
  <c r="J44" i="1"/>
  <c r="N40" i="1"/>
  <c r="X37" i="1"/>
  <c r="K36" i="1"/>
  <c r="T34" i="1"/>
  <c r="W32" i="1"/>
  <c r="Q31" i="1"/>
  <c r="M30" i="1"/>
  <c r="I29" i="1"/>
  <c r="U27" i="1"/>
  <c r="Q26" i="1"/>
  <c r="M25" i="1"/>
  <c r="U22" i="1"/>
  <c r="Q21" i="1"/>
  <c r="N20" i="1"/>
  <c r="M19" i="1"/>
  <c r="O18" i="1"/>
  <c r="R17" i="1"/>
  <c r="W16" i="1"/>
  <c r="O15" i="1"/>
  <c r="U14" i="1"/>
  <c r="J14" i="1"/>
  <c r="P13" i="1"/>
  <c r="X12" i="1"/>
  <c r="J12" i="1"/>
  <c r="T11" i="1"/>
  <c r="O10" i="1"/>
  <c r="T9" i="1"/>
  <c r="I9" i="1"/>
  <c r="O8" i="1"/>
  <c r="W7" i="1"/>
  <c r="I7" i="1"/>
  <c r="R6" i="1"/>
  <c r="R54" i="1"/>
  <c r="V50" i="1"/>
  <c r="I47" i="1"/>
  <c r="M43" i="1"/>
  <c r="V39" i="1"/>
  <c r="V37" i="1"/>
  <c r="I36" i="1"/>
  <c r="M34" i="1"/>
  <c r="V32" i="1"/>
  <c r="N31" i="1"/>
  <c r="I30" i="1"/>
  <c r="V23" i="1"/>
  <c r="Q22" i="1"/>
  <c r="L21" i="1"/>
  <c r="Q17" i="1"/>
  <c r="L15" i="1"/>
  <c r="O13" i="1"/>
  <c r="S11" i="1"/>
  <c r="N8" i="1"/>
  <c r="H52" i="1" l="1"/>
  <c r="H44" i="1"/>
  <c r="H36" i="1"/>
  <c r="H28" i="1"/>
  <c r="H20" i="1"/>
  <c r="H51" i="1"/>
  <c r="H43" i="1"/>
  <c r="H50" i="1"/>
  <c r="H42" i="1"/>
  <c r="H34" i="1"/>
  <c r="H26" i="1"/>
  <c r="H55" i="1"/>
  <c r="H47" i="1"/>
  <c r="H39" i="1"/>
  <c r="H45" i="1"/>
  <c r="H29" i="1"/>
  <c r="H17" i="1"/>
  <c r="H9" i="1"/>
  <c r="H37" i="1"/>
  <c r="H41" i="1"/>
  <c r="H32" i="1"/>
  <c r="H27" i="1"/>
  <c r="H22" i="1"/>
  <c r="H14" i="1"/>
  <c r="H6" i="1"/>
  <c r="H40" i="1"/>
  <c r="H54" i="1"/>
  <c r="H35" i="1"/>
  <c r="H30" i="1"/>
  <c r="H19" i="1"/>
  <c r="H16" i="1"/>
  <c r="H8" i="1"/>
  <c r="H53" i="1"/>
  <c r="H49" i="1"/>
  <c r="H38" i="1"/>
  <c r="H18" i="1"/>
  <c r="H31" i="1"/>
  <c r="H21" i="1"/>
  <c r="H33" i="1"/>
  <c r="H7" i="1"/>
  <c r="H12" i="1"/>
  <c r="H46" i="1"/>
  <c r="H15" i="1"/>
  <c r="H10" i="1"/>
  <c r="H11" i="1"/>
  <c r="H13" i="1"/>
  <c r="H23" i="1"/>
  <c r="H48" i="1"/>
  <c r="H24" i="1"/>
  <c r="H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tc={DCFEC1BF-8F69-418E-A0BA-56EF8E30E941}</author>
  </authors>
  <commentList>
    <comment ref="E2" authorId="0" shapeId="0" xr:uid="{DCFEC1BF-8F69-418E-A0BA-56EF8E30E94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Assumes range is 3 standard deviations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<sst xmlns="http://schemas.openxmlformats.org/spreadsheetml/2006/main" count="27" uniqueCount="27">
  <si>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Common Additives</t>
  </si>
  <si>
    <t>Composition Range</t>
  </si>
  <si>
    <t>Monte Carlo Number</t>
  </si>
  <si>
    <t>Low</t>
  </si>
  <si>
    <t>High</t>
  </si>
  <si>
    <t>Avg</t>
  </si>
  <si>
    <t>SD</t>
  </si>
  <si>
    <t>Plasticizer</t>
  </si>
  <si>
    <t>Flame Retardant</t>
  </si>
  <si>
    <t>Average</t>
  </si>
  <si>
    <t>UV Stabilizer</t>
  </si>
  <si>
    <t>Standard Deviation</t>
  </si>
  <si>
    <t>Heat Stabilizer</t>
  </si>
  <si>
    <t>Antioxidant</t>
  </si>
  <si>
    <t>Slip Agent</t>
  </si>
  <si>
    <t>Lubricant</t>
  </si>
  <si>
    <t>Antistatic</t>
  </si>
  <si>
    <t>Curing Agent</t>
  </si>
  <si>
    <t>Blowing Agent</t>
  </si>
  <si>
    <t>Biocide</t>
  </si>
  <si>
    <t>Colorant</t>
  </si>
  <si>
    <t>Organic Pigment</t>
  </si>
  <si>
    <t>Clarifier/Toner</t>
  </si>
  <si>
    <t>Inorganic Pigment</t>
  </si>
  <si>
    <t>Filler</t>
  </si>
  <si>
    <t>Reinforcement</t>
  </si>
  <si>
    <t>Base Case Releases: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</si>
</sst>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5" fillId="0" borderId="0" xfId="0" applyFont="1" applyAlignment="1">
      <alignment horizontal="left" vertical="center"/>
    </xf>
    <xf numFmtId="0" fontId="0" fillId="3" borderId="0" xfId="0" applyFill="1"/>
    <xf numFmtId="0" fontId="5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0" fillId="5" borderId="0" xfId="0" applyFill="1"/>
    <xf numFmtId="0" fontId="3" fillId="0" borderId="4" xfId="0" applyFont="1" applyBorder="1" applyAlignment="1">
      <alignment horizontal="left" vertical="center"/>
    </xf>
    <xf numFmtId="0" fontId="0" fillId="6" borderId="0" xfId="0" applyFill="1"/>
    <xf numFmtId="0" fontId="2" fillId="0" borderId="0" xfId="0" applyFont="1"/>
    <xf numFmtId="0" fontId="0" fillId="0" borderId="0" xfId="1" applyNumberFormat="1" applyFont="1"/>
    <xf numFmtId="10" fontId="0" fillId="0" borderId="0" xfId="1" applyNumberFormat="1" applyFon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1mco\AppData\Roaming\Microsoft\Excel\uncert_testing%20(version%201).xlsb" TargetMode="External"/><Relationship Id="rId1" Type="http://schemas.openxmlformats.org/officeDocument/2006/relationships/externalLinkPath" Target="/Users/21mco/AppData/Roaming/Microsoft/Excel/uncert_testing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ecarlo numbers"/>
      <sheetName val="results"/>
      <sheetName val="normalized_results"/>
    </sheetNames>
    <sheetDataSet>
      <sheetData sheetId="0"/>
      <sheetData sheetId="1"/>
      <sheetData sheetId="2">
        <row r="54">
          <cell r="C54">
            <v>1.518997904390234</v>
          </cell>
          <cell r="D54">
            <v>1.6626868953460674</v>
          </cell>
          <cell r="E54">
            <v>0.17219871138357745</v>
          </cell>
          <cell r="F54">
            <v>0.11631965934519806</v>
          </cell>
          <cell r="G54">
            <v>0.12031102020508233</v>
          </cell>
          <cell r="H54">
            <v>0.10252095465816957</v>
          </cell>
          <cell r="I54">
            <v>7.3418232045527887E-2</v>
          </cell>
          <cell r="J54">
            <v>4.1875077364271318E-2</v>
          </cell>
          <cell r="K54">
            <v>4.8101600305690884E-2</v>
          </cell>
          <cell r="L54">
            <v>0.50633263479674495</v>
          </cell>
          <cell r="M54">
            <v>2.5291315108097123E-2</v>
          </cell>
          <cell r="N54">
            <v>0.2231740915083853</v>
          </cell>
          <cell r="O54">
            <v>0.17212983189902431</v>
          </cell>
          <cell r="P54">
            <v>2.3606048514190903E-4</v>
          </cell>
          <cell r="Q54">
            <v>0.25291315108097434</v>
          </cell>
          <cell r="R54">
            <v>1.2658062703601221</v>
          </cell>
          <cell r="S54">
            <v>0.3797494760975586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onway, Matthew James" id="{3FD37C1A-5DE8-43EF-BE16-312D78B83D24}" userId="S::conway64@students.rowan.edu::b88ae00f-8a4a-486e-b08f-c97c722def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4-02T17:26:42.30" personId="{3FD37C1A-5DE8-43EF-BE16-312D78B83D24}" id="{DCFEC1BF-8F69-418E-A0BA-56EF8E30E941}">
    <text>Assumes range is 3 standard deviations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CFE6-FFB3-4AFB-9202-B23C8540FF25}">
  <dimension ref="A1:Y60"/>
  <sheetViews>
    <sheetView tabSelected="1" topLeftCell="D1" zoomScale="58" workbookViewId="0">
      <selection activeCell="M65" sqref="M65"/>
    </sheetView>
  </sheetViews>
  <sheetFormatPr defaultRowHeight="15" x14ac:dyDescent="0.25"/>
  <cols>
    <col min="1" max="1" width="17.28515625" bestFit="1" customWidth="1"/>
    <col min="5" max="5" width="14.42578125" bestFit="1" customWidth="1"/>
    <col min="6" max="6" width="9" bestFit="1" customWidth="1"/>
    <col min="7" max="7" width="19" bestFit="1" customWidth="1"/>
    <col min="8" max="8" width="13.28515625" bestFit="1" customWidth="1"/>
    <col min="9" max="9" width="14.42578125" bestFit="1" customWidth="1"/>
    <col min="10" max="10" width="15.7109375" bestFit="1" customWidth="1"/>
    <col min="11" max="11" width="15.7109375" customWidth="1"/>
    <col min="12" max="16" width="13.28515625" bestFit="1" customWidth="1"/>
    <col min="17" max="17" width="13.42578125" bestFit="1" customWidth="1"/>
    <col min="18" max="19" width="13.28515625" bestFit="1" customWidth="1"/>
    <col min="20" max="20" width="14.42578125" bestFit="1" customWidth="1"/>
    <col min="21" max="21" width="13.28515625" bestFit="1" customWidth="1"/>
    <col min="22" max="22" width="16.7109375" bestFit="1" customWidth="1"/>
    <col min="23" max="24" width="13.28515625" bestFit="1" customWidth="1"/>
  </cols>
  <sheetData>
    <row r="1" spans="1:24" x14ac:dyDescent="0.25">
      <c r="A1" s="1" t="s">
        <v>0</v>
      </c>
      <c r="B1" s="2" t="s">
        <v>1</v>
      </c>
      <c r="C1" s="3"/>
      <c r="D1" s="4"/>
      <c r="G1" s="5" t="s">
        <v>2</v>
      </c>
      <c r="H1" s="5" t="str" cm="1">
        <f t="array" ref="H1:X1">TRANSPOSE(A3:A19)</f>
        <v>Plasticizer</v>
      </c>
      <c r="I1" s="5" t="str">
        <v>Flame Retardant</v>
      </c>
      <c r="J1" s="5" t="str">
        <v>UV Stabilizer</v>
      </c>
      <c r="K1" s="5" t="str">
        <v>Heat Stabilizer</v>
      </c>
      <c r="L1" s="5" t="str">
        <v>Antioxidant</v>
      </c>
      <c r="M1" s="5" t="str">
        <v>Slip Agent</v>
      </c>
      <c r="N1" s="5" t="str">
        <v>Lubricant</v>
      </c>
      <c r="O1" s="5" t="str">
        <v>Antistatic</v>
      </c>
      <c r="P1" s="5" t="str">
        <v>Curing Agent</v>
      </c>
      <c r="Q1" s="5" t="str">
        <v>Blowing Agent</v>
      </c>
      <c r="R1" s="5" t="str">
        <v>Biocide</v>
      </c>
      <c r="S1" s="5" t="str">
        <v>Colorant</v>
      </c>
      <c r="T1" s="5" t="str">
        <v>Organic Pigment</v>
      </c>
      <c r="U1" s="5" t="str">
        <v>Clarifier/Toner</v>
      </c>
      <c r="V1" s="5" t="str">
        <v>Inorganic Pigment</v>
      </c>
      <c r="W1" s="5" t="str">
        <v>Filler</v>
      </c>
      <c r="X1" s="5" t="str">
        <v>Reinforcement</v>
      </c>
    </row>
    <row r="2" spans="1:24" x14ac:dyDescent="0.25">
      <c r="A2" s="6"/>
      <c r="B2" s="7" t="s">
        <v>3</v>
      </c>
      <c r="C2" s="7" t="s">
        <v>4</v>
      </c>
      <c r="D2" s="7" t="s">
        <v>5</v>
      </c>
      <c r="E2" s="8" t="s">
        <v>6</v>
      </c>
      <c r="G2" t="str" cm="1">
        <f t="array" ref="G2:X2">TRANSPOSE(B2:B19)</f>
        <v>Low</v>
      </c>
      <c r="H2">
        <v>0.1</v>
      </c>
      <c r="I2">
        <v>7.0000000000000001E-3</v>
      </c>
      <c r="J2">
        <v>5.0000000000000001E-3</v>
      </c>
      <c r="K2">
        <v>5.0000000000000001E-3</v>
      </c>
      <c r="L2">
        <v>5.0000000000000001E-3</v>
      </c>
      <c r="M2">
        <v>1E-3</v>
      </c>
      <c r="N2">
        <v>1E-3</v>
      </c>
      <c r="O2">
        <v>1E-3</v>
      </c>
      <c r="P2">
        <v>1E-3</v>
      </c>
      <c r="Q2">
        <v>5.0000000000000001E-3</v>
      </c>
      <c r="R2">
        <v>1.0000000000000001E-5</v>
      </c>
      <c r="S2">
        <v>2.5000000000000001E-3</v>
      </c>
      <c r="T2">
        <v>1.0000000000000001E-5</v>
      </c>
      <c r="U2">
        <v>1.4999999999999999E-4</v>
      </c>
      <c r="V2">
        <v>1E-4</v>
      </c>
      <c r="W2">
        <v>1.0000000000000001E-5</v>
      </c>
      <c r="X2">
        <v>0.15</v>
      </c>
    </row>
    <row r="3" spans="1:24" x14ac:dyDescent="0.25">
      <c r="A3" s="9" t="s">
        <v>7</v>
      </c>
      <c r="B3" s="10">
        <v>0.1</v>
      </c>
      <c r="C3" s="10">
        <v>0.7</v>
      </c>
      <c r="D3" s="10">
        <f>(B3+C3)/2</f>
        <v>0.39999999999999997</v>
      </c>
      <c r="E3">
        <f>(C3-B3)/6</f>
        <v>9.9999999999999992E-2</v>
      </c>
      <c r="G3" t="str" cm="1">
        <f t="array" ref="G3:X3">TRANSPOSE(C2:C19)</f>
        <v>High</v>
      </c>
      <c r="H3">
        <v>0.7</v>
      </c>
      <c r="I3">
        <v>0.25</v>
      </c>
      <c r="J3">
        <v>0.03</v>
      </c>
      <c r="K3">
        <v>0.03</v>
      </c>
      <c r="L3">
        <v>0.03</v>
      </c>
      <c r="M3">
        <v>0.03</v>
      </c>
      <c r="N3">
        <v>0.03</v>
      </c>
      <c r="O3">
        <v>0.01</v>
      </c>
      <c r="P3">
        <v>0.02</v>
      </c>
      <c r="Q3">
        <v>0.20499999999999999</v>
      </c>
      <c r="R3">
        <v>0.01</v>
      </c>
      <c r="S3">
        <v>0.05</v>
      </c>
      <c r="T3">
        <v>2.5000000000000001E-2</v>
      </c>
      <c r="U3">
        <v>2.0000000000000001E-4</v>
      </c>
      <c r="V3">
        <v>0.1</v>
      </c>
      <c r="W3">
        <v>0.5</v>
      </c>
      <c r="X3">
        <v>0.3</v>
      </c>
    </row>
    <row r="4" spans="1:24" x14ac:dyDescent="0.25">
      <c r="A4" s="9" t="s">
        <v>8</v>
      </c>
      <c r="B4" s="10">
        <v>7.0000000000000001E-3</v>
      </c>
      <c r="C4" s="10">
        <v>0.25</v>
      </c>
      <c r="D4" s="10">
        <f>(B4+C4)/2</f>
        <v>0.1285</v>
      </c>
      <c r="E4">
        <f>(C4-B4)/6</f>
        <v>4.0500000000000001E-2</v>
      </c>
      <c r="G4" s="11" t="s">
        <v>9</v>
      </c>
      <c r="H4" s="12" cm="1">
        <f t="array" ref="H4:X4">TRANSPOSE(D3:D19)</f>
        <v>0.39999999999999997</v>
      </c>
      <c r="I4" s="12">
        <v>0.1285</v>
      </c>
      <c r="J4" s="12">
        <v>1.7499999999999998E-2</v>
      </c>
      <c r="K4" s="12">
        <v>1.7499999999999998E-2</v>
      </c>
      <c r="L4" s="12">
        <v>1.7499999999999998E-2</v>
      </c>
      <c r="M4" s="12">
        <v>1.55E-2</v>
      </c>
      <c r="N4" s="12">
        <v>1.55E-2</v>
      </c>
      <c r="O4" s="12">
        <v>5.4999999999999997E-3</v>
      </c>
      <c r="P4" s="12">
        <v>1.0500000000000001E-2</v>
      </c>
      <c r="Q4" s="12">
        <v>0.105</v>
      </c>
      <c r="R4" s="12">
        <v>5.0049999999999999E-3</v>
      </c>
      <c r="S4" s="12">
        <v>2.6250000000000002E-2</v>
      </c>
      <c r="T4" s="12">
        <v>1.2505E-2</v>
      </c>
      <c r="U4" s="12">
        <v>1.75E-4</v>
      </c>
      <c r="V4" s="12">
        <v>5.0050000000000004E-2</v>
      </c>
      <c r="W4" s="12">
        <v>0.25000499999999998</v>
      </c>
      <c r="X4" s="12">
        <v>0.22499999999999998</v>
      </c>
    </row>
    <row r="5" spans="1:24" x14ac:dyDescent="0.25">
      <c r="A5" s="9" t="s">
        <v>10</v>
      </c>
      <c r="B5" s="10">
        <v>5.0000000000000001E-3</v>
      </c>
      <c r="C5" s="10">
        <v>0.03</v>
      </c>
      <c r="D5" s="10">
        <f>(B5+C5)/2</f>
        <v>1.7499999999999998E-2</v>
      </c>
      <c r="E5">
        <f>(C5-B5)/6</f>
        <v>4.1666666666666666E-3</v>
      </c>
      <c r="G5" s="12" t="s">
        <v>11</v>
      </c>
      <c r="H5" s="12" cm="1">
        <f t="array" ref="H5:X5">TRANSPOSE(E3:E19)</f>
        <v>9.9999999999999992E-2</v>
      </c>
      <c r="I5" s="12">
        <v>4.0500000000000001E-2</v>
      </c>
      <c r="J5" s="12">
        <v>4.1666666666666666E-3</v>
      </c>
      <c r="K5" s="12">
        <v>4.1666666666666666E-3</v>
      </c>
      <c r="L5" s="12">
        <v>4.1666666666666666E-3</v>
      </c>
      <c r="M5" s="12">
        <v>4.8333333333333327E-3</v>
      </c>
      <c r="N5" s="12">
        <v>4.8333333333333327E-3</v>
      </c>
      <c r="O5" s="12">
        <v>1.5000000000000002E-3</v>
      </c>
      <c r="P5" s="12">
        <v>3.1666666666666666E-3</v>
      </c>
      <c r="Q5" s="12">
        <v>3.3333333333333333E-2</v>
      </c>
      <c r="R5" s="12">
        <v>1.665E-3</v>
      </c>
      <c r="S5" s="12">
        <v>7.9166666666666673E-3</v>
      </c>
      <c r="T5" s="12">
        <v>4.1650000000000003E-3</v>
      </c>
      <c r="U5" s="12">
        <v>8.3333333333333371E-6</v>
      </c>
      <c r="V5" s="12">
        <v>1.6650000000000002E-2</v>
      </c>
      <c r="W5" s="12">
        <v>8.3331666666666665E-2</v>
      </c>
      <c r="X5" s="12">
        <v>2.4999999999999998E-2</v>
      </c>
    </row>
    <row r="6" spans="1:24" x14ac:dyDescent="0.25">
      <c r="A6" s="13" t="s">
        <v>12</v>
      </c>
      <c r="B6" s="10">
        <v>5.0000000000000001E-3</v>
      </c>
      <c r="C6" s="10">
        <v>0.03</v>
      </c>
      <c r="D6" s="10">
        <f>(B6+C6)/2</f>
        <v>1.7499999999999998E-2</v>
      </c>
      <c r="E6">
        <f>(C6-B6)/6</f>
        <v>4.1666666666666666E-3</v>
      </c>
      <c r="F6">
        <v>0</v>
      </c>
      <c r="G6" s="14">
        <v>0.69650597045983298</v>
      </c>
      <c r="H6">
        <f t="shared" ref="H6:W21" si="0">_xlfn.NORM.INV($G6, H$4, H$5)</f>
        <v>0.45143775399269886</v>
      </c>
      <c r="I6">
        <f t="shared" si="0"/>
        <v>0.14933229036704307</v>
      </c>
      <c r="J6">
        <f t="shared" si="0"/>
        <v>1.9643239749695784E-2</v>
      </c>
      <c r="K6">
        <f t="shared" si="0"/>
        <v>1.9643239749695784E-2</v>
      </c>
      <c r="L6">
        <f t="shared" si="0"/>
        <v>1.9643239749695784E-2</v>
      </c>
      <c r="M6">
        <f t="shared" si="0"/>
        <v>1.7986158109647113E-2</v>
      </c>
      <c r="N6">
        <f t="shared" si="0"/>
        <v>1.7986158109647113E-2</v>
      </c>
      <c r="O6">
        <f t="shared" si="0"/>
        <v>6.2715663098904832E-3</v>
      </c>
      <c r="P6">
        <f t="shared" si="0"/>
        <v>1.2128862209768798E-2</v>
      </c>
      <c r="Q6">
        <f t="shared" si="0"/>
        <v>0.1221459179975663</v>
      </c>
      <c r="R6">
        <f t="shared" si="0"/>
        <v>5.8614386039784368E-3</v>
      </c>
      <c r="S6">
        <f t="shared" si="0"/>
        <v>3.0322155524421999E-2</v>
      </c>
      <c r="T6">
        <f t="shared" si="0"/>
        <v>1.4647382453795909E-2</v>
      </c>
      <c r="U6">
        <f t="shared" si="0"/>
        <v>1.7928647949939157E-4</v>
      </c>
      <c r="V6">
        <f t="shared" si="0"/>
        <v>5.8614386039784375E-2</v>
      </c>
      <c r="W6">
        <f t="shared" si="0"/>
        <v>0.29286893769801586</v>
      </c>
      <c r="X6">
        <f t="shared" ref="R6:AD21" si="1">_xlfn.NORM.INV($G6, X$4, X$5)</f>
        <v>0.2378594384981747</v>
      </c>
    </row>
    <row r="7" spans="1:24" x14ac:dyDescent="0.25">
      <c r="A7" s="9" t="s">
        <v>13</v>
      </c>
      <c r="B7" s="10">
        <v>5.0000000000000001E-3</v>
      </c>
      <c r="C7" s="10">
        <v>0.03</v>
      </c>
      <c r="D7" s="10">
        <f t="shared" ref="D7:D19" si="2">(B7+C7)/2</f>
        <v>1.7499999999999998E-2</v>
      </c>
      <c r="E7">
        <f t="shared" ref="E7:E19" si="3">(C7-B7)/6</f>
        <v>4.1666666666666666E-3</v>
      </c>
      <c r="F7">
        <v>1</v>
      </c>
      <c r="G7" s="14">
        <v>0.47923159209196287</v>
      </c>
      <c r="H7">
        <f t="shared" si="0"/>
        <v>0.39479177850989833</v>
      </c>
      <c r="I7">
        <f t="shared" si="0"/>
        <v>0.12639067029650883</v>
      </c>
      <c r="J7">
        <f t="shared" si="0"/>
        <v>1.7282990771245763E-2</v>
      </c>
      <c r="K7">
        <f t="shared" si="0"/>
        <v>1.7282990771245763E-2</v>
      </c>
      <c r="L7">
        <f t="shared" si="0"/>
        <v>1.7282990771245763E-2</v>
      </c>
      <c r="M7">
        <f t="shared" si="0"/>
        <v>1.5248269294645086E-2</v>
      </c>
      <c r="N7">
        <f t="shared" si="0"/>
        <v>1.5248269294645086E-2</v>
      </c>
      <c r="O7">
        <f t="shared" si="0"/>
        <v>5.4218766776484746E-3</v>
      </c>
      <c r="P7">
        <f t="shared" si="0"/>
        <v>1.0335072986146781E-2</v>
      </c>
      <c r="Q7">
        <f t="shared" si="0"/>
        <v>0.1032639261699661</v>
      </c>
      <c r="R7">
        <f t="shared" si="1"/>
        <v>4.9182831121898068E-3</v>
      </c>
      <c r="S7">
        <f t="shared" si="1"/>
        <v>2.5837682465366954E-2</v>
      </c>
      <c r="T7">
        <f t="shared" si="1"/>
        <v>1.2288077574937266E-2</v>
      </c>
      <c r="U7">
        <f t="shared" si="1"/>
        <v>1.7456598154249152E-4</v>
      </c>
      <c r="V7">
        <f t="shared" si="1"/>
        <v>4.9182831121898078E-2</v>
      </c>
      <c r="W7">
        <f t="shared" si="1"/>
        <v>0.24566490222860676</v>
      </c>
      <c r="X7">
        <f t="shared" si="1"/>
        <v>0.22369794462747455</v>
      </c>
    </row>
    <row r="8" spans="1:24" x14ac:dyDescent="0.25">
      <c r="A8" s="9" t="s">
        <v>14</v>
      </c>
      <c r="B8" s="10">
        <v>1E-3</v>
      </c>
      <c r="C8" s="10">
        <v>0.03</v>
      </c>
      <c r="D8" s="10">
        <f t="shared" si="2"/>
        <v>1.55E-2</v>
      </c>
      <c r="E8">
        <f t="shared" si="3"/>
        <v>4.8333333333333327E-3</v>
      </c>
      <c r="F8">
        <v>2</v>
      </c>
      <c r="G8" s="14">
        <v>0.44594385774101308</v>
      </c>
      <c r="H8">
        <f t="shared" si="0"/>
        <v>0.38640840364304196</v>
      </c>
      <c r="I8">
        <f t="shared" si="0"/>
        <v>0.122995403475432</v>
      </c>
      <c r="J8">
        <f t="shared" si="0"/>
        <v>1.6933683485126749E-2</v>
      </c>
      <c r="K8">
        <f t="shared" si="0"/>
        <v>1.6933683485126749E-2</v>
      </c>
      <c r="L8">
        <f t="shared" si="0"/>
        <v>1.6933683485126749E-2</v>
      </c>
      <c r="M8">
        <f t="shared" si="0"/>
        <v>1.4843072842747029E-2</v>
      </c>
      <c r="N8">
        <f t="shared" si="0"/>
        <v>1.4843072842747029E-2</v>
      </c>
      <c r="O8">
        <f t="shared" si="0"/>
        <v>5.2961260546456291E-3</v>
      </c>
      <c r="P8">
        <f t="shared" si="0"/>
        <v>1.006959944869633E-2</v>
      </c>
      <c r="Q8">
        <f t="shared" si="0"/>
        <v>0.10046946788101399</v>
      </c>
      <c r="R8">
        <f t="shared" si="1"/>
        <v>4.778699920656649E-3</v>
      </c>
      <c r="S8">
        <f t="shared" si="1"/>
        <v>2.5173998621740825E-2</v>
      </c>
      <c r="T8">
        <f t="shared" si="1"/>
        <v>1.1938910011732699E-2</v>
      </c>
      <c r="U8">
        <f t="shared" si="1"/>
        <v>1.738673669702535E-4</v>
      </c>
      <c r="V8">
        <f t="shared" si="1"/>
        <v>4.7786999206566497E-2</v>
      </c>
      <c r="W8">
        <f t="shared" si="1"/>
        <v>0.2386788962291409</v>
      </c>
      <c r="X8">
        <f t="shared" si="1"/>
        <v>0.22160210091076046</v>
      </c>
    </row>
    <row r="9" spans="1:24" x14ac:dyDescent="0.25">
      <c r="A9" s="9" t="s">
        <v>15</v>
      </c>
      <c r="B9" s="10">
        <v>1E-3</v>
      </c>
      <c r="C9" s="10">
        <v>0.03</v>
      </c>
      <c r="D9" s="10">
        <f t="shared" si="2"/>
        <v>1.55E-2</v>
      </c>
      <c r="E9">
        <f t="shared" si="3"/>
        <v>4.8333333333333327E-3</v>
      </c>
      <c r="F9">
        <v>3</v>
      </c>
      <c r="G9" s="14">
        <v>0.78988873568238094</v>
      </c>
      <c r="H9">
        <f t="shared" si="0"/>
        <v>0.48060352424758845</v>
      </c>
      <c r="I9">
        <f t="shared" si="0"/>
        <v>0.16114442732027334</v>
      </c>
      <c r="J9">
        <f t="shared" si="0"/>
        <v>2.0858480176982851E-2</v>
      </c>
      <c r="K9">
        <f t="shared" si="0"/>
        <v>2.0858480176982851E-2</v>
      </c>
      <c r="L9">
        <f t="shared" si="0"/>
        <v>2.0858480176982851E-2</v>
      </c>
      <c r="M9">
        <f t="shared" si="0"/>
        <v>1.939583700530011E-2</v>
      </c>
      <c r="N9">
        <f t="shared" si="0"/>
        <v>1.939583700530011E-2</v>
      </c>
      <c r="O9">
        <f t="shared" si="0"/>
        <v>6.7090528637138271E-3</v>
      </c>
      <c r="P9">
        <f t="shared" si="0"/>
        <v>1.305244493450697E-2</v>
      </c>
      <c r="Q9">
        <f t="shared" si="0"/>
        <v>0.13186784141586283</v>
      </c>
      <c r="R9">
        <f t="shared" si="1"/>
        <v>6.3470486787223484E-3</v>
      </c>
      <c r="S9">
        <f t="shared" si="1"/>
        <v>3.2631112336267427E-2</v>
      </c>
      <c r="T9">
        <f t="shared" si="1"/>
        <v>1.5862136784912061E-2</v>
      </c>
      <c r="U9">
        <f t="shared" si="1"/>
        <v>1.8171696035396571E-4</v>
      </c>
      <c r="V9">
        <f t="shared" si="1"/>
        <v>6.3470486787223487E-2</v>
      </c>
      <c r="W9">
        <f t="shared" si="1"/>
        <v>0.31717326014758629</v>
      </c>
      <c r="X9">
        <f t="shared" si="1"/>
        <v>0.24515088106189709</v>
      </c>
    </row>
    <row r="10" spans="1:24" x14ac:dyDescent="0.25">
      <c r="A10" s="9" t="s">
        <v>16</v>
      </c>
      <c r="B10" s="10">
        <v>1E-3</v>
      </c>
      <c r="C10" s="10">
        <v>0.01</v>
      </c>
      <c r="D10" s="10">
        <f t="shared" si="2"/>
        <v>5.4999999999999997E-3</v>
      </c>
      <c r="E10">
        <f t="shared" si="3"/>
        <v>1.5000000000000002E-3</v>
      </c>
      <c r="F10">
        <v>4</v>
      </c>
      <c r="G10" s="14">
        <v>0.92585196128378522</v>
      </c>
      <c r="H10">
        <f t="shared" si="0"/>
        <v>0.54455763020820225</v>
      </c>
      <c r="I10">
        <f t="shared" si="0"/>
        <v>0.18704584023432194</v>
      </c>
      <c r="J10">
        <f t="shared" si="0"/>
        <v>2.3523234592008429E-2</v>
      </c>
      <c r="K10">
        <f t="shared" si="0"/>
        <v>2.3523234592008429E-2</v>
      </c>
      <c r="L10">
        <f t="shared" si="0"/>
        <v>2.3523234592008429E-2</v>
      </c>
      <c r="M10">
        <f t="shared" si="0"/>
        <v>2.2486952126729777E-2</v>
      </c>
      <c r="N10">
        <f t="shared" si="0"/>
        <v>2.2486952126729777E-2</v>
      </c>
      <c r="O10">
        <f t="shared" si="0"/>
        <v>7.6683644531230343E-3</v>
      </c>
      <c r="P10">
        <f t="shared" si="0"/>
        <v>1.5077658289926407E-2</v>
      </c>
      <c r="Q10">
        <f t="shared" si="0"/>
        <v>0.15318587673606743</v>
      </c>
      <c r="R10">
        <f t="shared" si="1"/>
        <v>7.4118845429665681E-3</v>
      </c>
      <c r="S10">
        <f t="shared" si="1"/>
        <v>3.7694145724816018E-2</v>
      </c>
      <c r="T10">
        <f t="shared" si="1"/>
        <v>1.8525825298171629E-2</v>
      </c>
      <c r="U10">
        <f t="shared" si="1"/>
        <v>1.8704646918401687E-4</v>
      </c>
      <c r="V10">
        <f t="shared" si="1"/>
        <v>7.4118845429665695E-2</v>
      </c>
      <c r="W10">
        <f t="shared" si="1"/>
        <v>0.37046728254633177</v>
      </c>
      <c r="X10">
        <f t="shared" si="1"/>
        <v>0.26113940755205056</v>
      </c>
    </row>
    <row r="11" spans="1:24" x14ac:dyDescent="0.25">
      <c r="A11" s="9" t="s">
        <v>17</v>
      </c>
      <c r="B11" s="10">
        <v>1E-3</v>
      </c>
      <c r="C11" s="10">
        <v>0.02</v>
      </c>
      <c r="D11" s="10">
        <f t="shared" si="2"/>
        <v>1.0500000000000001E-2</v>
      </c>
      <c r="E11">
        <f t="shared" si="3"/>
        <v>3.1666666666666666E-3</v>
      </c>
      <c r="F11">
        <v>5</v>
      </c>
      <c r="G11" s="14">
        <v>0.66504641249343122</v>
      </c>
      <c r="H11">
        <f t="shared" si="0"/>
        <v>0.44262754083099382</v>
      </c>
      <c r="I11">
        <f t="shared" si="0"/>
        <v>0.14576415403655252</v>
      </c>
      <c r="J11">
        <f t="shared" si="0"/>
        <v>1.9276147534624741E-2</v>
      </c>
      <c r="K11">
        <f t="shared" si="0"/>
        <v>1.9276147534624741E-2</v>
      </c>
      <c r="L11">
        <f t="shared" si="0"/>
        <v>1.9276147534624741E-2</v>
      </c>
      <c r="M11">
        <f t="shared" si="0"/>
        <v>1.7560331140164701E-2</v>
      </c>
      <c r="N11">
        <f t="shared" si="0"/>
        <v>1.7560331140164701E-2</v>
      </c>
      <c r="O11">
        <f t="shared" si="0"/>
        <v>6.139413112464907E-3</v>
      </c>
      <c r="P11">
        <f t="shared" si="0"/>
        <v>1.1849872126314805E-2</v>
      </c>
      <c r="Q11">
        <f t="shared" si="0"/>
        <v>0.11920918027699794</v>
      </c>
      <c r="R11">
        <f t="shared" si="1"/>
        <v>5.7147485548360473E-3</v>
      </c>
      <c r="S11">
        <f t="shared" si="1"/>
        <v>2.9624680315787015E-2</v>
      </c>
      <c r="T11">
        <f t="shared" si="1"/>
        <v>1.4280437075610894E-2</v>
      </c>
      <c r="U11">
        <f t="shared" si="1"/>
        <v>1.7855229506924948E-4</v>
      </c>
      <c r="V11">
        <f t="shared" si="1"/>
        <v>5.714748554836048E-2</v>
      </c>
      <c r="W11">
        <f t="shared" si="1"/>
        <v>0.28552724023348097</v>
      </c>
      <c r="X11">
        <f t="shared" si="1"/>
        <v>0.23565688520774844</v>
      </c>
    </row>
    <row r="12" spans="1:24" x14ac:dyDescent="0.25">
      <c r="A12" s="9" t="s">
        <v>18</v>
      </c>
      <c r="B12" s="10">
        <v>5.0000000000000001E-3</v>
      </c>
      <c r="C12" s="10">
        <v>0.20499999999999999</v>
      </c>
      <c r="D12" s="10">
        <f t="shared" si="2"/>
        <v>0.105</v>
      </c>
      <c r="E12">
        <f t="shared" si="3"/>
        <v>3.3333333333333333E-2</v>
      </c>
      <c r="F12">
        <v>6</v>
      </c>
      <c r="G12" s="14">
        <v>0.9365084733844844</v>
      </c>
      <c r="H12">
        <f t="shared" si="0"/>
        <v>0.55261076659733244</v>
      </c>
      <c r="I12">
        <f t="shared" si="0"/>
        <v>0.19030736047191968</v>
      </c>
      <c r="J12">
        <f t="shared" si="0"/>
        <v>2.385878194155552E-2</v>
      </c>
      <c r="K12">
        <f t="shared" si="0"/>
        <v>2.385878194155552E-2</v>
      </c>
      <c r="L12">
        <f t="shared" si="0"/>
        <v>2.385878194155552E-2</v>
      </c>
      <c r="M12">
        <f t="shared" si="0"/>
        <v>2.2876187052204403E-2</v>
      </c>
      <c r="N12">
        <f t="shared" si="0"/>
        <v>2.2876187052204403E-2</v>
      </c>
      <c r="O12">
        <f t="shared" si="0"/>
        <v>7.7891614989599872E-3</v>
      </c>
      <c r="P12">
        <f t="shared" si="0"/>
        <v>1.5332674275582197E-2</v>
      </c>
      <c r="Q12">
        <f t="shared" si="0"/>
        <v>0.15587025553244416</v>
      </c>
      <c r="R12">
        <f t="shared" si="1"/>
        <v>7.5459692638455856E-3</v>
      </c>
      <c r="S12">
        <f t="shared" si="1"/>
        <v>3.8331685688955494E-2</v>
      </c>
      <c r="T12">
        <f t="shared" si="1"/>
        <v>1.88612384287789E-2</v>
      </c>
      <c r="U12">
        <f t="shared" si="1"/>
        <v>1.8771756388311105E-4</v>
      </c>
      <c r="V12">
        <f t="shared" si="1"/>
        <v>7.5459692638455866E-2</v>
      </c>
      <c r="W12">
        <f t="shared" si="1"/>
        <v>0.37717809531833379</v>
      </c>
      <c r="X12">
        <f t="shared" si="1"/>
        <v>0.26315269164933308</v>
      </c>
    </row>
    <row r="13" spans="1:24" x14ac:dyDescent="0.25">
      <c r="A13" s="9" t="s">
        <v>19</v>
      </c>
      <c r="B13" s="10">
        <v>1.0000000000000001E-5</v>
      </c>
      <c r="C13" s="10">
        <v>0.01</v>
      </c>
      <c r="D13" s="10">
        <f t="shared" si="2"/>
        <v>5.0049999999999999E-3</v>
      </c>
      <c r="E13">
        <f t="shared" si="3"/>
        <v>1.665E-3</v>
      </c>
      <c r="F13">
        <v>7</v>
      </c>
      <c r="G13" s="14">
        <v>0.41597373505990254</v>
      </c>
      <c r="H13">
        <f t="shared" si="0"/>
        <v>0.37877954665757929</v>
      </c>
      <c r="I13">
        <f t="shared" si="0"/>
        <v>0.11990571639631964</v>
      </c>
      <c r="J13">
        <f t="shared" si="0"/>
        <v>1.6615814444065805E-2</v>
      </c>
      <c r="K13">
        <f t="shared" si="0"/>
        <v>1.6615814444065805E-2</v>
      </c>
      <c r="L13">
        <f t="shared" si="0"/>
        <v>1.6615814444065805E-2</v>
      </c>
      <c r="M13">
        <f t="shared" si="0"/>
        <v>1.4474344755116334E-2</v>
      </c>
      <c r="N13">
        <f t="shared" si="0"/>
        <v>1.4474344755116334E-2</v>
      </c>
      <c r="O13">
        <f t="shared" si="0"/>
        <v>5.1816931998636901E-3</v>
      </c>
      <c r="P13">
        <f t="shared" si="0"/>
        <v>9.8280189774900134E-3</v>
      </c>
      <c r="Q13">
        <f t="shared" si="0"/>
        <v>9.7926515552526447E-2</v>
      </c>
      <c r="R13">
        <f t="shared" si="1"/>
        <v>4.6516794518486962E-3</v>
      </c>
      <c r="S13">
        <f t="shared" si="1"/>
        <v>2.4570047443725034E-2</v>
      </c>
      <c r="T13">
        <f t="shared" si="1"/>
        <v>1.1621168118288181E-2</v>
      </c>
      <c r="U13">
        <f t="shared" si="1"/>
        <v>1.732316288881316E-4</v>
      </c>
      <c r="V13">
        <f t="shared" si="1"/>
        <v>4.6516794518486962E-2</v>
      </c>
      <c r="W13">
        <f t="shared" si="1"/>
        <v>0.23232164255553847</v>
      </c>
      <c r="X13">
        <f t="shared" si="1"/>
        <v>0.21969488666439482</v>
      </c>
    </row>
    <row r="14" spans="1:24" x14ac:dyDescent="0.25">
      <c r="A14" s="9" t="s">
        <v>20</v>
      </c>
      <c r="B14" s="10">
        <v>2.5000000000000001E-3</v>
      </c>
      <c r="C14" s="10">
        <v>0.05</v>
      </c>
      <c r="D14" s="10">
        <f t="shared" si="2"/>
        <v>2.6250000000000002E-2</v>
      </c>
      <c r="E14">
        <f t="shared" si="3"/>
        <v>7.9166666666666673E-3</v>
      </c>
      <c r="F14">
        <v>8</v>
      </c>
      <c r="G14" s="14">
        <v>0.2596166955364807</v>
      </c>
      <c r="H14">
        <f t="shared" si="0"/>
        <v>0.33554724384735041</v>
      </c>
      <c r="I14">
        <f t="shared" si="0"/>
        <v>0.10239663375817692</v>
      </c>
      <c r="J14">
        <f t="shared" si="0"/>
        <v>1.4814468493639599E-2</v>
      </c>
      <c r="K14">
        <f t="shared" si="0"/>
        <v>1.4814468493639599E-2</v>
      </c>
      <c r="L14">
        <f t="shared" si="0"/>
        <v>1.4814468493639599E-2</v>
      </c>
      <c r="M14">
        <f t="shared" si="0"/>
        <v>1.2384783452621936E-2</v>
      </c>
      <c r="N14">
        <f t="shared" si="0"/>
        <v>1.2384783452621936E-2</v>
      </c>
      <c r="O14">
        <f t="shared" si="0"/>
        <v>4.5332086577102556E-3</v>
      </c>
      <c r="P14">
        <f t="shared" si="0"/>
        <v>8.4589960551660973E-3</v>
      </c>
      <c r="Q14">
        <f t="shared" si="0"/>
        <v>8.35157479491168E-2</v>
      </c>
      <c r="R14">
        <f t="shared" si="1"/>
        <v>3.9318616100583841E-3</v>
      </c>
      <c r="S14">
        <f t="shared" si="1"/>
        <v>2.1147490137915243E-2</v>
      </c>
      <c r="T14">
        <f t="shared" si="1"/>
        <v>9.8205427062421462E-3</v>
      </c>
      <c r="U14">
        <f t="shared" si="1"/>
        <v>1.696289369872792E-4</v>
      </c>
      <c r="V14">
        <f t="shared" si="1"/>
        <v>3.9318616100583847E-2</v>
      </c>
      <c r="W14">
        <f t="shared" si="1"/>
        <v>0.19629544408539454</v>
      </c>
      <c r="X14">
        <f t="shared" si="1"/>
        <v>0.20888681096183759</v>
      </c>
    </row>
    <row r="15" spans="1:24" x14ac:dyDescent="0.25">
      <c r="A15" s="9" t="s">
        <v>21</v>
      </c>
      <c r="B15" s="10">
        <v>1.0000000000000001E-5</v>
      </c>
      <c r="C15" s="10">
        <v>2.5000000000000001E-2</v>
      </c>
      <c r="D15" s="10">
        <f t="shared" si="2"/>
        <v>1.2505E-2</v>
      </c>
      <c r="E15">
        <f t="shared" si="3"/>
        <v>4.1650000000000003E-3</v>
      </c>
      <c r="F15">
        <v>9</v>
      </c>
      <c r="G15" s="14">
        <v>0.6182519366491408</v>
      </c>
      <c r="H15">
        <f t="shared" si="0"/>
        <v>0.43008929496512849</v>
      </c>
      <c r="I15">
        <f t="shared" si="0"/>
        <v>0.14068616446087706</v>
      </c>
      <c r="J15">
        <f t="shared" si="0"/>
        <v>1.8753720623547021E-2</v>
      </c>
      <c r="K15">
        <f t="shared" si="0"/>
        <v>1.8753720623547021E-2</v>
      </c>
      <c r="L15">
        <f t="shared" si="0"/>
        <v>1.8753720623547021E-2</v>
      </c>
      <c r="M15">
        <f t="shared" si="0"/>
        <v>1.6954315923314544E-2</v>
      </c>
      <c r="N15">
        <f t="shared" si="0"/>
        <v>1.6954315923314544E-2</v>
      </c>
      <c r="O15">
        <f t="shared" si="0"/>
        <v>5.9513394244769275E-3</v>
      </c>
      <c r="P15">
        <f t="shared" si="0"/>
        <v>1.1452827673895737E-2</v>
      </c>
      <c r="Q15">
        <f t="shared" si="0"/>
        <v>0.11502976498837617</v>
      </c>
      <c r="R15">
        <f t="shared" si="1"/>
        <v>5.5059867611693897E-3</v>
      </c>
      <c r="S15">
        <f t="shared" si="1"/>
        <v>2.8632069184739345E-2</v>
      </c>
      <c r="T15">
        <f t="shared" si="1"/>
        <v>1.3758219135297603E-2</v>
      </c>
      <c r="U15">
        <f t="shared" si="1"/>
        <v>1.7750744124709405E-4</v>
      </c>
      <c r="V15">
        <f t="shared" si="1"/>
        <v>5.5059867611693902E-2</v>
      </c>
      <c r="W15">
        <f t="shared" si="1"/>
        <v>0.27507891098269099</v>
      </c>
      <c r="X15">
        <f t="shared" si="1"/>
        <v>0.23252232374128209</v>
      </c>
    </row>
    <row r="16" spans="1:24" x14ac:dyDescent="0.25">
      <c r="A16" s="9" t="s">
        <v>22</v>
      </c>
      <c r="B16" s="10">
        <v>1.4999999999999999E-4</v>
      </c>
      <c r="C16" s="10">
        <v>2.0000000000000001E-4</v>
      </c>
      <c r="D16" s="10">
        <f t="shared" si="2"/>
        <v>1.75E-4</v>
      </c>
      <c r="E16">
        <f t="shared" si="3"/>
        <v>8.3333333333333371E-6</v>
      </c>
      <c r="F16">
        <v>10</v>
      </c>
      <c r="G16" s="14">
        <v>0.19872109005772332</v>
      </c>
      <c r="H16">
        <f t="shared" si="0"/>
        <v>0.31538017895879927</v>
      </c>
      <c r="I16">
        <f t="shared" si="0"/>
        <v>9.4228972478313716E-2</v>
      </c>
      <c r="J16">
        <f t="shared" si="0"/>
        <v>1.3974174123283303E-2</v>
      </c>
      <c r="K16">
        <f t="shared" si="0"/>
        <v>1.3974174123283303E-2</v>
      </c>
      <c r="L16">
        <f t="shared" si="0"/>
        <v>1.3974174123283303E-2</v>
      </c>
      <c r="M16">
        <f t="shared" si="0"/>
        <v>1.1410041983008634E-2</v>
      </c>
      <c r="N16">
        <f t="shared" si="0"/>
        <v>1.1410041983008634E-2</v>
      </c>
      <c r="O16">
        <f t="shared" si="0"/>
        <v>4.2307026843819897E-3</v>
      </c>
      <c r="P16">
        <f t="shared" si="0"/>
        <v>7.8203723336953135E-3</v>
      </c>
      <c r="Q16">
        <f t="shared" si="0"/>
        <v>7.6793392986266432E-2</v>
      </c>
      <c r="R16">
        <f t="shared" si="1"/>
        <v>3.5960799796640082E-3</v>
      </c>
      <c r="S16">
        <f t="shared" si="1"/>
        <v>1.955093083423828E-2</v>
      </c>
      <c r="T16">
        <f t="shared" si="1"/>
        <v>8.9805844536339913E-3</v>
      </c>
      <c r="U16">
        <f t="shared" si="1"/>
        <v>1.6794834824656661E-4</v>
      </c>
      <c r="V16">
        <f t="shared" si="1"/>
        <v>3.5960799796640089E-2</v>
      </c>
      <c r="W16">
        <f t="shared" si="1"/>
        <v>0.17948989279601676</v>
      </c>
      <c r="X16">
        <f t="shared" si="1"/>
        <v>0.2038450447396998</v>
      </c>
    </row>
    <row r="17" spans="1:24" x14ac:dyDescent="0.25">
      <c r="A17" s="9" t="s">
        <v>23</v>
      </c>
      <c r="B17" s="10">
        <v>1E-4</v>
      </c>
      <c r="C17" s="10">
        <v>0.1</v>
      </c>
      <c r="D17" s="10">
        <f t="shared" si="2"/>
        <v>5.0050000000000004E-2</v>
      </c>
      <c r="E17">
        <f t="shared" si="3"/>
        <v>1.6650000000000002E-2</v>
      </c>
      <c r="F17">
        <v>11</v>
      </c>
      <c r="G17" s="14">
        <v>0.71777850532554244</v>
      </c>
      <c r="H17">
        <f t="shared" si="0"/>
        <v>0.45762547707924733</v>
      </c>
      <c r="I17">
        <f t="shared" si="0"/>
        <v>0.1518383182170952</v>
      </c>
      <c r="J17">
        <f t="shared" si="0"/>
        <v>1.9901061544968637E-2</v>
      </c>
      <c r="K17">
        <f t="shared" si="0"/>
        <v>1.9901061544968637E-2</v>
      </c>
      <c r="L17">
        <f t="shared" si="0"/>
        <v>1.9901061544968637E-2</v>
      </c>
      <c r="M17">
        <f t="shared" si="0"/>
        <v>1.8285231392163624E-2</v>
      </c>
      <c r="N17">
        <f t="shared" si="0"/>
        <v>1.8285231392163624E-2</v>
      </c>
      <c r="O17">
        <f t="shared" si="0"/>
        <v>6.3643821561887104E-3</v>
      </c>
      <c r="P17">
        <f t="shared" si="0"/>
        <v>1.2324806774176168E-2</v>
      </c>
      <c r="Q17">
        <f t="shared" si="0"/>
        <v>0.12420849235974912</v>
      </c>
      <c r="R17">
        <f t="shared" si="1"/>
        <v>5.9644641933694689E-3</v>
      </c>
      <c r="S17">
        <f t="shared" si="1"/>
        <v>3.0812016935440421E-2</v>
      </c>
      <c r="T17">
        <f t="shared" si="1"/>
        <v>1.4905101120350654E-2</v>
      </c>
      <c r="U17">
        <f t="shared" si="1"/>
        <v>1.7980212308993729E-4</v>
      </c>
      <c r="V17">
        <f t="shared" si="1"/>
        <v>5.9644641933694689E-2</v>
      </c>
      <c r="W17">
        <f t="shared" si="1"/>
        <v>0.2980252704747548</v>
      </c>
      <c r="X17">
        <f t="shared" si="1"/>
        <v>0.23940636926981182</v>
      </c>
    </row>
    <row r="18" spans="1:24" x14ac:dyDescent="0.25">
      <c r="A18" s="9" t="s">
        <v>24</v>
      </c>
      <c r="B18" s="10">
        <v>1.0000000000000001E-5</v>
      </c>
      <c r="C18" s="10">
        <v>0.5</v>
      </c>
      <c r="D18" s="10">
        <f t="shared" si="2"/>
        <v>0.25000499999999998</v>
      </c>
      <c r="E18">
        <f t="shared" si="3"/>
        <v>8.3331666666666665E-2</v>
      </c>
      <c r="F18">
        <v>12</v>
      </c>
      <c r="G18" s="14">
        <v>0.36298969734909015</v>
      </c>
      <c r="H18">
        <f t="shared" si="0"/>
        <v>0.36495211961155793</v>
      </c>
      <c r="I18">
        <f t="shared" si="0"/>
        <v>0.11430560844268098</v>
      </c>
      <c r="J18">
        <f t="shared" si="0"/>
        <v>1.603967165048158E-2</v>
      </c>
      <c r="K18">
        <f t="shared" si="0"/>
        <v>1.603967165048158E-2</v>
      </c>
      <c r="L18">
        <f t="shared" si="0"/>
        <v>1.603967165048158E-2</v>
      </c>
      <c r="M18">
        <f t="shared" si="0"/>
        <v>1.3806019114558636E-2</v>
      </c>
      <c r="N18">
        <f t="shared" si="0"/>
        <v>1.3806019114558636E-2</v>
      </c>
      <c r="O18">
        <f t="shared" si="0"/>
        <v>4.9742817941733691E-3</v>
      </c>
      <c r="P18">
        <f t="shared" si="0"/>
        <v>9.390150454366003E-3</v>
      </c>
      <c r="Q18">
        <f t="shared" si="0"/>
        <v>9.3317373203852652E-2</v>
      </c>
      <c r="R18">
        <f t="shared" si="1"/>
        <v>4.4214527915324405E-3</v>
      </c>
      <c r="S18">
        <f t="shared" si="1"/>
        <v>2.3475376135915008E-2</v>
      </c>
      <c r="T18">
        <f t="shared" si="1"/>
        <v>1.1045255781821391E-2</v>
      </c>
      <c r="U18">
        <f t="shared" si="1"/>
        <v>1.7207934330096315E-4</v>
      </c>
      <c r="V18">
        <f t="shared" si="1"/>
        <v>4.421452791532441E-2</v>
      </c>
      <c r="W18">
        <f t="shared" si="1"/>
        <v>0.22079901714097144</v>
      </c>
      <c r="X18">
        <f t="shared" si="1"/>
        <v>0.21623802990288948</v>
      </c>
    </row>
    <row r="19" spans="1:24" x14ac:dyDescent="0.25">
      <c r="A19" s="9" t="s">
        <v>25</v>
      </c>
      <c r="B19" s="10">
        <v>0.15</v>
      </c>
      <c r="C19" s="10">
        <v>0.3</v>
      </c>
      <c r="D19" s="10">
        <f t="shared" si="2"/>
        <v>0.22499999999999998</v>
      </c>
      <c r="E19">
        <f t="shared" si="3"/>
        <v>2.4999999999999998E-2</v>
      </c>
      <c r="F19">
        <v>13</v>
      </c>
      <c r="G19" s="14">
        <v>0.63835506139968246</v>
      </c>
      <c r="H19">
        <f t="shared" si="0"/>
        <v>0.43540653922915135</v>
      </c>
      <c r="I19">
        <f t="shared" si="0"/>
        <v>0.14283964838780633</v>
      </c>
      <c r="J19">
        <f t="shared" si="0"/>
        <v>1.8975272467881308E-2</v>
      </c>
      <c r="K19">
        <f t="shared" si="0"/>
        <v>1.8975272467881308E-2</v>
      </c>
      <c r="L19">
        <f t="shared" si="0"/>
        <v>1.8975272467881308E-2</v>
      </c>
      <c r="M19">
        <f t="shared" si="0"/>
        <v>1.7211316062742316E-2</v>
      </c>
      <c r="N19">
        <f t="shared" si="0"/>
        <v>1.7211316062742316E-2</v>
      </c>
      <c r="O19">
        <f t="shared" si="0"/>
        <v>6.0310980884372709E-3</v>
      </c>
      <c r="P19">
        <f t="shared" si="0"/>
        <v>1.1621207075589795E-2</v>
      </c>
      <c r="Q19">
        <f t="shared" si="0"/>
        <v>0.11680217974305046</v>
      </c>
      <c r="R19">
        <f t="shared" si="1"/>
        <v>5.5945188781653709E-3</v>
      </c>
      <c r="S19">
        <f t="shared" si="1"/>
        <v>2.9053017688974489E-2</v>
      </c>
      <c r="T19">
        <f t="shared" si="1"/>
        <v>1.3979682358894156E-2</v>
      </c>
      <c r="U19">
        <f t="shared" si="1"/>
        <v>1.7795054493576263E-4</v>
      </c>
      <c r="V19">
        <f t="shared" si="1"/>
        <v>5.5945188781653714E-2</v>
      </c>
      <c r="W19">
        <f t="shared" si="1"/>
        <v>0.27950985924863897</v>
      </c>
      <c r="X19">
        <f t="shared" si="1"/>
        <v>0.23385163480728782</v>
      </c>
    </row>
    <row r="20" spans="1:24" x14ac:dyDescent="0.25">
      <c r="F20">
        <v>14</v>
      </c>
      <c r="G20" s="14">
        <v>0.93586474487111082</v>
      </c>
      <c r="H20">
        <f t="shared" si="0"/>
        <v>0.55209574707999021</v>
      </c>
      <c r="I20">
        <f t="shared" si="0"/>
        <v>0.19009877756739607</v>
      </c>
      <c r="J20">
        <f t="shared" si="0"/>
        <v>2.3837322794999592E-2</v>
      </c>
      <c r="K20">
        <f t="shared" si="0"/>
        <v>2.3837322794999592E-2</v>
      </c>
      <c r="L20">
        <f t="shared" si="0"/>
        <v>2.3837322794999592E-2</v>
      </c>
      <c r="M20">
        <f t="shared" si="0"/>
        <v>2.2851294442199528E-2</v>
      </c>
      <c r="N20">
        <f t="shared" si="0"/>
        <v>2.2851294442199528E-2</v>
      </c>
      <c r="O20">
        <f t="shared" si="0"/>
        <v>7.7814362061998533E-3</v>
      </c>
      <c r="P20">
        <f t="shared" si="0"/>
        <v>1.5316365324199692E-2</v>
      </c>
      <c r="Q20">
        <f t="shared" si="0"/>
        <v>0.15569858235999673</v>
      </c>
      <c r="R20">
        <f t="shared" si="1"/>
        <v>7.5373941888818375E-3</v>
      </c>
      <c r="S20">
        <f t="shared" si="1"/>
        <v>3.8290913310499233E-2</v>
      </c>
      <c r="T20">
        <f t="shared" si="1"/>
        <v>1.8839787865881596E-2</v>
      </c>
      <c r="U20">
        <f t="shared" si="1"/>
        <v>1.8767464558999919E-4</v>
      </c>
      <c r="V20">
        <f t="shared" si="1"/>
        <v>7.537394188881838E-2</v>
      </c>
      <c r="W20">
        <f t="shared" si="1"/>
        <v>0.37674892097087387</v>
      </c>
      <c r="X20">
        <f t="shared" si="1"/>
        <v>0.26302393676999752</v>
      </c>
    </row>
    <row r="21" spans="1:24" x14ac:dyDescent="0.25">
      <c r="A21" s="15" t="s">
        <v>26</v>
      </c>
      <c r="B21">
        <v>56144.138498002481</v>
      </c>
      <c r="F21">
        <v>15</v>
      </c>
      <c r="G21" s="14">
        <v>0.20957186209849277</v>
      </c>
      <c r="H21">
        <f t="shared" si="0"/>
        <v>0.31920923102022136</v>
      </c>
      <c r="I21">
        <f t="shared" si="0"/>
        <v>9.5779738563189665E-2</v>
      </c>
      <c r="J21">
        <f t="shared" si="0"/>
        <v>1.413371795917589E-2</v>
      </c>
      <c r="K21">
        <f t="shared" si="0"/>
        <v>1.413371795917589E-2</v>
      </c>
      <c r="L21">
        <f t="shared" si="0"/>
        <v>1.413371795917589E-2</v>
      </c>
      <c r="M21">
        <f t="shared" si="0"/>
        <v>1.1595112832644035E-2</v>
      </c>
      <c r="N21">
        <f t="shared" si="0"/>
        <v>1.1595112832644035E-2</v>
      </c>
      <c r="O21">
        <f t="shared" si="0"/>
        <v>4.2881384653033205E-3</v>
      </c>
      <c r="P21">
        <f t="shared" si="0"/>
        <v>7.9416256489736776E-3</v>
      </c>
      <c r="Q21">
        <f t="shared" si="0"/>
        <v>7.8069743673407133E-2</v>
      </c>
      <c r="R21">
        <f t="shared" si="1"/>
        <v>3.6598336964866864E-3</v>
      </c>
      <c r="S21">
        <f t="shared" si="1"/>
        <v>1.9854064122434196E-2</v>
      </c>
      <c r="T21">
        <f t="shared" si="1"/>
        <v>9.1400644719922212E-3</v>
      </c>
      <c r="U21">
        <f t="shared" si="1"/>
        <v>1.6826743591835178E-4</v>
      </c>
      <c r="V21">
        <f t="shared" si="1"/>
        <v>3.6598336964866862E-2</v>
      </c>
      <c r="W21">
        <f t="shared" si="1"/>
        <v>0.18268070569633416</v>
      </c>
      <c r="X21">
        <f t="shared" si="1"/>
        <v>0.20480230775505531</v>
      </c>
    </row>
    <row r="22" spans="1:24" x14ac:dyDescent="0.25">
      <c r="F22">
        <v>16</v>
      </c>
      <c r="G22" s="14">
        <v>0.16916716947582267</v>
      </c>
      <c r="H22">
        <f t="shared" ref="H22:W37" si="4">_xlfn.NORM.INV($G22, H$4, H$5)</f>
        <v>0.30425384387124865</v>
      </c>
      <c r="I22">
        <f t="shared" si="4"/>
        <v>8.9722806767855712E-2</v>
      </c>
      <c r="J22">
        <f t="shared" si="4"/>
        <v>1.3510576827968692E-2</v>
      </c>
      <c r="K22">
        <f t="shared" si="4"/>
        <v>1.3510576827968692E-2</v>
      </c>
      <c r="L22">
        <f t="shared" si="4"/>
        <v>1.3510576827968692E-2</v>
      </c>
      <c r="M22">
        <f t="shared" si="4"/>
        <v>1.0872269120443687E-2</v>
      </c>
      <c r="N22">
        <f t="shared" si="4"/>
        <v>1.0872269120443687E-2</v>
      </c>
      <c r="O22">
        <f t="shared" si="4"/>
        <v>4.0638076580687289E-3</v>
      </c>
      <c r="P22">
        <f t="shared" si="4"/>
        <v>7.4680383892562086E-3</v>
      </c>
      <c r="Q22">
        <f t="shared" si="4"/>
        <v>7.3084614623749544E-2</v>
      </c>
      <c r="R22">
        <f t="shared" si="4"/>
        <v>3.4108265004562897E-3</v>
      </c>
      <c r="S22">
        <f t="shared" si="4"/>
        <v>1.8670095973140521E-2</v>
      </c>
      <c r="T22">
        <f t="shared" si="4"/>
        <v>8.5171725972375059E-3</v>
      </c>
      <c r="U22">
        <f t="shared" si="4"/>
        <v>1.6702115365593739E-4</v>
      </c>
      <c r="V22">
        <f t="shared" si="4"/>
        <v>3.4108265004562904E-2</v>
      </c>
      <c r="W22">
        <f t="shared" si="4"/>
        <v>0.17021813232864266</v>
      </c>
      <c r="X22">
        <f t="shared" ref="R22:AD37" si="5">_xlfn.NORM.INV($G22, X$4, X$5)</f>
        <v>0.20106346096781214</v>
      </c>
    </row>
    <row r="23" spans="1:24" x14ac:dyDescent="0.25">
      <c r="F23">
        <v>17</v>
      </c>
      <c r="G23" s="14">
        <v>0.15383708810661134</v>
      </c>
      <c r="H23">
        <f t="shared" si="4"/>
        <v>0.29798855327150042</v>
      </c>
      <c r="I23">
        <f t="shared" si="4"/>
        <v>8.718536407495768E-2</v>
      </c>
      <c r="J23">
        <f t="shared" si="4"/>
        <v>1.3249523052979183E-2</v>
      </c>
      <c r="K23">
        <f t="shared" si="4"/>
        <v>1.3249523052979183E-2</v>
      </c>
      <c r="L23">
        <f t="shared" si="4"/>
        <v>1.3249523052979183E-2</v>
      </c>
      <c r="M23">
        <f t="shared" si="4"/>
        <v>1.0569446741455855E-2</v>
      </c>
      <c r="N23">
        <f t="shared" si="4"/>
        <v>1.0569446741455855E-2</v>
      </c>
      <c r="O23">
        <f t="shared" si="4"/>
        <v>3.9698282990725062E-3</v>
      </c>
      <c r="P23">
        <f t="shared" si="4"/>
        <v>7.2696375202641814E-3</v>
      </c>
      <c r="Q23">
        <f t="shared" si="4"/>
        <v>7.0996184423833486E-2</v>
      </c>
      <c r="R23">
        <f t="shared" si="5"/>
        <v>3.306509411970482E-3</v>
      </c>
      <c r="S23">
        <f t="shared" si="5"/>
        <v>1.8174093800660453E-2</v>
      </c>
      <c r="T23">
        <f t="shared" si="5"/>
        <v>8.256223243757993E-3</v>
      </c>
      <c r="U23">
        <f t="shared" si="5"/>
        <v>1.6649904610595837E-4</v>
      </c>
      <c r="V23">
        <f t="shared" si="5"/>
        <v>3.3065094119704826E-2</v>
      </c>
      <c r="W23">
        <f t="shared" si="5"/>
        <v>0.16499716125036251</v>
      </c>
      <c r="X23">
        <f t="shared" si="5"/>
        <v>0.19949713831787508</v>
      </c>
    </row>
    <row r="24" spans="1:24" x14ac:dyDescent="0.25">
      <c r="F24">
        <v>18</v>
      </c>
      <c r="G24" s="14">
        <v>0.60376875879392866</v>
      </c>
      <c r="H24">
        <f t="shared" si="4"/>
        <v>0.42631142999337968</v>
      </c>
      <c r="I24">
        <f t="shared" si="4"/>
        <v>0.13915612914731879</v>
      </c>
      <c r="J24">
        <f t="shared" si="4"/>
        <v>1.8596309583057486E-2</v>
      </c>
      <c r="K24">
        <f t="shared" si="4"/>
        <v>1.8596309583057486E-2</v>
      </c>
      <c r="L24">
        <f t="shared" si="4"/>
        <v>1.8596309583057486E-2</v>
      </c>
      <c r="M24">
        <f t="shared" si="4"/>
        <v>1.6771719116346687E-2</v>
      </c>
      <c r="N24">
        <f t="shared" si="4"/>
        <v>1.6771719116346687E-2</v>
      </c>
      <c r="O24">
        <f t="shared" si="4"/>
        <v>5.8946714499006955E-3</v>
      </c>
      <c r="P24">
        <f t="shared" si="4"/>
        <v>1.1333195283123692E-2</v>
      </c>
      <c r="Q24">
        <f t="shared" si="4"/>
        <v>0.1137704766644599</v>
      </c>
      <c r="R24">
        <f t="shared" si="5"/>
        <v>5.4430853093897728E-3</v>
      </c>
      <c r="S24">
        <f t="shared" si="5"/>
        <v>2.8332988207809232E-2</v>
      </c>
      <c r="T24">
        <f t="shared" si="5"/>
        <v>1.3600871059224267E-2</v>
      </c>
      <c r="U24">
        <f t="shared" si="5"/>
        <v>1.7719261916611498E-4</v>
      </c>
      <c r="V24">
        <f t="shared" si="5"/>
        <v>5.4430853093897731E-2</v>
      </c>
      <c r="W24">
        <f t="shared" si="5"/>
        <v>0.27193075313731652</v>
      </c>
      <c r="X24">
        <f t="shared" si="5"/>
        <v>0.23157785749834492</v>
      </c>
    </row>
    <row r="25" spans="1:24" x14ac:dyDescent="0.25">
      <c r="F25">
        <v>19</v>
      </c>
      <c r="G25" s="14">
        <v>0.1908855024128665</v>
      </c>
      <c r="H25">
        <f t="shared" si="4"/>
        <v>0.31253621839267998</v>
      </c>
      <c r="I25">
        <f t="shared" si="4"/>
        <v>9.3077168449035408E-2</v>
      </c>
      <c r="J25">
        <f t="shared" si="4"/>
        <v>1.3855675766361666E-2</v>
      </c>
      <c r="K25">
        <f t="shared" si="4"/>
        <v>1.3855675766361666E-2</v>
      </c>
      <c r="L25">
        <f t="shared" si="4"/>
        <v>1.3855675766361666E-2</v>
      </c>
      <c r="M25">
        <f t="shared" si="4"/>
        <v>1.1272583888979535E-2</v>
      </c>
      <c r="N25">
        <f t="shared" si="4"/>
        <v>1.1272583888979535E-2</v>
      </c>
      <c r="O25">
        <f t="shared" si="4"/>
        <v>4.1880432758902002E-3</v>
      </c>
      <c r="P25">
        <f t="shared" si="4"/>
        <v>7.7303135824348685E-3</v>
      </c>
      <c r="Q25">
        <f t="shared" si="4"/>
        <v>7.5845406130893342E-2</v>
      </c>
      <c r="R25">
        <f t="shared" si="5"/>
        <v>3.5487280362381224E-3</v>
      </c>
      <c r="S25">
        <f t="shared" si="5"/>
        <v>1.932578395608717E-2</v>
      </c>
      <c r="T25">
        <f t="shared" si="5"/>
        <v>8.8621334960551235E-3</v>
      </c>
      <c r="U25">
        <f t="shared" si="5"/>
        <v>1.6771135153272333E-4</v>
      </c>
      <c r="V25">
        <f t="shared" si="5"/>
        <v>3.5487280362381232E-2</v>
      </c>
      <c r="W25">
        <f t="shared" si="5"/>
        <v>0.17711997305692678</v>
      </c>
      <c r="X25">
        <f t="shared" si="5"/>
        <v>0.20313405459816999</v>
      </c>
    </row>
    <row r="26" spans="1:24" x14ac:dyDescent="0.25">
      <c r="F26">
        <v>20</v>
      </c>
      <c r="G26" s="14">
        <v>0.14984338099024708</v>
      </c>
      <c r="H26">
        <f t="shared" si="4"/>
        <v>0.29628946496684516</v>
      </c>
      <c r="I26">
        <f t="shared" si="4"/>
        <v>8.6497233311572302E-2</v>
      </c>
      <c r="J26">
        <f t="shared" si="4"/>
        <v>1.317872770695188E-2</v>
      </c>
      <c r="K26">
        <f t="shared" si="4"/>
        <v>1.317872770695188E-2</v>
      </c>
      <c r="L26">
        <f t="shared" si="4"/>
        <v>1.317872770695188E-2</v>
      </c>
      <c r="M26">
        <f t="shared" si="4"/>
        <v>1.0487324140064185E-2</v>
      </c>
      <c r="N26">
        <f t="shared" si="4"/>
        <v>1.0487324140064185E-2</v>
      </c>
      <c r="O26">
        <f t="shared" si="4"/>
        <v>3.944341974502677E-3</v>
      </c>
      <c r="P26">
        <f t="shared" si="4"/>
        <v>7.2158330572834311E-3</v>
      </c>
      <c r="Q26">
        <f t="shared" si="4"/>
        <v>7.0429821655615066E-2</v>
      </c>
      <c r="R26">
        <f t="shared" si="5"/>
        <v>3.2782195916979725E-3</v>
      </c>
      <c r="S26">
        <f t="shared" si="5"/>
        <v>1.8039582643208579E-2</v>
      </c>
      <c r="T26">
        <f t="shared" si="5"/>
        <v>8.185456215869101E-3</v>
      </c>
      <c r="U26">
        <f t="shared" si="5"/>
        <v>1.6635745541390375E-4</v>
      </c>
      <c r="V26">
        <f t="shared" si="5"/>
        <v>3.2782195916979728E-2</v>
      </c>
      <c r="W26">
        <f t="shared" si="5"/>
        <v>0.16358128264795485</v>
      </c>
      <c r="X26">
        <f t="shared" si="5"/>
        <v>0.19907236624171126</v>
      </c>
    </row>
    <row r="27" spans="1:24" x14ac:dyDescent="0.25">
      <c r="F27">
        <v>21</v>
      </c>
      <c r="G27" s="14">
        <v>0.2635815585048884</v>
      </c>
      <c r="H27">
        <f t="shared" si="4"/>
        <v>0.33676575291322636</v>
      </c>
      <c r="I27">
        <f t="shared" si="4"/>
        <v>0.10289012992985669</v>
      </c>
      <c r="J27">
        <f t="shared" si="4"/>
        <v>1.4865239704717766E-2</v>
      </c>
      <c r="K27">
        <f t="shared" si="4"/>
        <v>1.4865239704717766E-2</v>
      </c>
      <c r="L27">
        <f t="shared" si="4"/>
        <v>1.4865239704717766E-2</v>
      </c>
      <c r="M27">
        <f t="shared" si="4"/>
        <v>1.244367805747261E-2</v>
      </c>
      <c r="N27">
        <f t="shared" si="4"/>
        <v>1.244367805747261E-2</v>
      </c>
      <c r="O27">
        <f t="shared" si="4"/>
        <v>4.5514862936983959E-3</v>
      </c>
      <c r="P27">
        <f t="shared" si="4"/>
        <v>8.4975821755855028E-3</v>
      </c>
      <c r="Q27">
        <f t="shared" si="4"/>
        <v>8.3921917637742122E-2</v>
      </c>
      <c r="R27">
        <f t="shared" si="5"/>
        <v>3.9521497860052195E-3</v>
      </c>
      <c r="S27">
        <f t="shared" si="5"/>
        <v>2.124395543896376E-2</v>
      </c>
      <c r="T27">
        <f t="shared" si="5"/>
        <v>9.8712936088358808E-3</v>
      </c>
      <c r="U27">
        <f t="shared" si="5"/>
        <v>1.6973047940943553E-4</v>
      </c>
      <c r="V27">
        <f t="shared" si="5"/>
        <v>3.9521497860052199E-2</v>
      </c>
      <c r="W27">
        <f t="shared" si="5"/>
        <v>0.19731084799847343</v>
      </c>
      <c r="X27">
        <f t="shared" si="5"/>
        <v>0.20919143822830658</v>
      </c>
    </row>
    <row r="28" spans="1:24" x14ac:dyDescent="0.25">
      <c r="F28">
        <v>22</v>
      </c>
      <c r="G28" s="14">
        <v>0.76319934338433837</v>
      </c>
      <c r="H28">
        <f t="shared" si="4"/>
        <v>0.47166318069109786</v>
      </c>
      <c r="I28">
        <f t="shared" si="4"/>
        <v>0.15752358817989465</v>
      </c>
      <c r="J28">
        <f t="shared" si="4"/>
        <v>2.0485965862129078E-2</v>
      </c>
      <c r="K28">
        <f t="shared" si="4"/>
        <v>2.0485965862129078E-2</v>
      </c>
      <c r="L28">
        <f t="shared" si="4"/>
        <v>2.0485965862129078E-2</v>
      </c>
      <c r="M28">
        <f t="shared" si="4"/>
        <v>1.8963720400069731E-2</v>
      </c>
      <c r="N28">
        <f t="shared" si="4"/>
        <v>1.8963720400069731E-2</v>
      </c>
      <c r="O28">
        <f t="shared" si="4"/>
        <v>6.5749477103664682E-3</v>
      </c>
      <c r="P28">
        <f t="shared" si="4"/>
        <v>1.2769334055218101E-2</v>
      </c>
      <c r="Q28">
        <f t="shared" si="4"/>
        <v>0.12888772689703262</v>
      </c>
      <c r="R28">
        <f t="shared" si="5"/>
        <v>6.1981919585067796E-3</v>
      </c>
      <c r="S28">
        <f t="shared" si="5"/>
        <v>3.1923335138045253E-2</v>
      </c>
      <c r="T28">
        <f t="shared" si="5"/>
        <v>1.5489771475784227E-2</v>
      </c>
      <c r="U28">
        <f t="shared" si="5"/>
        <v>1.8097193172425817E-4</v>
      </c>
      <c r="V28">
        <f t="shared" si="5"/>
        <v>6.1981919585067803E-2</v>
      </c>
      <c r="W28">
        <f t="shared" si="5"/>
        <v>0.30972312285623671</v>
      </c>
      <c r="X28">
        <f t="shared" si="5"/>
        <v>0.24291579517277445</v>
      </c>
    </row>
    <row r="29" spans="1:24" x14ac:dyDescent="0.25">
      <c r="F29">
        <v>23</v>
      </c>
      <c r="G29" s="14">
        <v>0.24741593492258829</v>
      </c>
      <c r="H29">
        <f t="shared" si="4"/>
        <v>0.33173560730955165</v>
      </c>
      <c r="I29">
        <f t="shared" si="4"/>
        <v>0.10085292096036842</v>
      </c>
      <c r="J29">
        <f t="shared" si="4"/>
        <v>1.4655650304564651E-2</v>
      </c>
      <c r="K29">
        <f t="shared" si="4"/>
        <v>1.4655650304564651E-2</v>
      </c>
      <c r="L29">
        <f t="shared" si="4"/>
        <v>1.4655650304564651E-2</v>
      </c>
      <c r="M29">
        <f t="shared" si="4"/>
        <v>1.2200554353294996E-2</v>
      </c>
      <c r="N29">
        <f t="shared" si="4"/>
        <v>1.2200554353294996E-2</v>
      </c>
      <c r="O29">
        <f t="shared" si="4"/>
        <v>4.4760341096432739E-3</v>
      </c>
      <c r="P29">
        <f t="shared" si="4"/>
        <v>8.3382942314691368E-3</v>
      </c>
      <c r="Q29">
        <f t="shared" si="4"/>
        <v>8.2245202436517215E-2</v>
      </c>
      <c r="R29">
        <f t="shared" si="5"/>
        <v>3.8683978617040349E-3</v>
      </c>
      <c r="S29">
        <f t="shared" si="5"/>
        <v>2.0845735578672843E-2</v>
      </c>
      <c r="T29">
        <f t="shared" si="5"/>
        <v>9.6617880444428254E-3</v>
      </c>
      <c r="U29">
        <f t="shared" si="5"/>
        <v>1.6931130060912931E-4</v>
      </c>
      <c r="V29">
        <f t="shared" si="5"/>
        <v>3.8683978617040357E-2</v>
      </c>
      <c r="W29">
        <f t="shared" si="5"/>
        <v>0.19311914383117118</v>
      </c>
      <c r="X29">
        <f t="shared" si="5"/>
        <v>0.20793390182738788</v>
      </c>
    </row>
    <row r="30" spans="1:24" x14ac:dyDescent="0.25">
      <c r="F30">
        <v>24</v>
      </c>
      <c r="G30" s="14">
        <v>0.94901949785317685</v>
      </c>
      <c r="H30">
        <f t="shared" si="4"/>
        <v>0.56354201351264743</v>
      </c>
      <c r="I30">
        <f t="shared" si="4"/>
        <v>0.19473451547262222</v>
      </c>
      <c r="J30">
        <f t="shared" si="4"/>
        <v>2.4314250563026975E-2</v>
      </c>
      <c r="K30">
        <f t="shared" si="4"/>
        <v>2.4314250563026975E-2</v>
      </c>
      <c r="L30">
        <f t="shared" si="4"/>
        <v>2.4314250563026975E-2</v>
      </c>
      <c r="M30">
        <f t="shared" si="4"/>
        <v>2.3404530653111294E-2</v>
      </c>
      <c r="N30">
        <f t="shared" si="4"/>
        <v>2.3404530653111294E-2</v>
      </c>
      <c r="O30">
        <f t="shared" si="4"/>
        <v>7.9531302026897115E-3</v>
      </c>
      <c r="P30">
        <f t="shared" si="4"/>
        <v>1.5678830427900504E-2</v>
      </c>
      <c r="Q30">
        <f t="shared" si="4"/>
        <v>0.15951400450421582</v>
      </c>
      <c r="R30">
        <f t="shared" si="5"/>
        <v>7.7279745249855796E-3</v>
      </c>
      <c r="S30">
        <f t="shared" si="5"/>
        <v>3.9197076069751258E-2</v>
      </c>
      <c r="T30">
        <f t="shared" si="5"/>
        <v>1.9316524862801766E-2</v>
      </c>
      <c r="U30">
        <f t="shared" si="5"/>
        <v>1.8862850112605397E-4</v>
      </c>
      <c r="V30">
        <f t="shared" si="5"/>
        <v>7.72797452498558E-2</v>
      </c>
      <c r="W30">
        <f t="shared" si="5"/>
        <v>0.38628728556031433</v>
      </c>
      <c r="X30">
        <f t="shared" si="5"/>
        <v>0.26588550337816186</v>
      </c>
    </row>
    <row r="31" spans="1:24" x14ac:dyDescent="0.25">
      <c r="F31">
        <v>25</v>
      </c>
      <c r="G31" s="14">
        <v>0.23259671447521124</v>
      </c>
      <c r="H31">
        <f t="shared" si="4"/>
        <v>0.32696780740722348</v>
      </c>
      <c r="I31">
        <f t="shared" si="4"/>
        <v>9.892196199992552E-2</v>
      </c>
      <c r="J31">
        <f t="shared" si="4"/>
        <v>1.4456991975300978E-2</v>
      </c>
      <c r="K31">
        <f t="shared" si="4"/>
        <v>1.4456991975300978E-2</v>
      </c>
      <c r="L31">
        <f t="shared" si="4"/>
        <v>1.4456991975300978E-2</v>
      </c>
      <c r="M31">
        <f t="shared" si="4"/>
        <v>1.1970110691349137E-2</v>
      </c>
      <c r="N31">
        <f t="shared" si="4"/>
        <v>1.1970110691349137E-2</v>
      </c>
      <c r="O31">
        <f t="shared" si="4"/>
        <v>4.4045171111083518E-3</v>
      </c>
      <c r="P31">
        <f t="shared" si="4"/>
        <v>8.1873139012287443E-3</v>
      </c>
      <c r="Q31">
        <f t="shared" si="4"/>
        <v>8.0655935802407833E-2</v>
      </c>
      <c r="R31">
        <f t="shared" si="5"/>
        <v>3.7890139933302713E-3</v>
      </c>
      <c r="S31">
        <f t="shared" si="5"/>
        <v>2.0468284753071862E-2</v>
      </c>
      <c r="T31">
        <f t="shared" si="5"/>
        <v>9.4632091785108591E-3</v>
      </c>
      <c r="U31">
        <f t="shared" si="5"/>
        <v>1.6891398395060196E-4</v>
      </c>
      <c r="V31">
        <f t="shared" si="5"/>
        <v>3.7890139933302716E-2</v>
      </c>
      <c r="W31">
        <f t="shared" si="5"/>
        <v>0.18914605670922943</v>
      </c>
      <c r="X31">
        <f t="shared" si="5"/>
        <v>0.20674195185180586</v>
      </c>
    </row>
    <row r="32" spans="1:24" x14ac:dyDescent="0.25">
      <c r="F32">
        <v>26</v>
      </c>
      <c r="G32" s="14">
        <v>0.32779216739952666</v>
      </c>
      <c r="H32">
        <f t="shared" si="4"/>
        <v>0.35539821260767368</v>
      </c>
      <c r="I32">
        <f t="shared" si="4"/>
        <v>0.11043627610610787</v>
      </c>
      <c r="J32">
        <f t="shared" si="4"/>
        <v>1.5641592191986405E-2</v>
      </c>
      <c r="K32">
        <f t="shared" si="4"/>
        <v>1.5641592191986405E-2</v>
      </c>
      <c r="L32">
        <f t="shared" si="4"/>
        <v>1.5641592191986405E-2</v>
      </c>
      <c r="M32">
        <f t="shared" si="4"/>
        <v>1.3344246942704231E-2</v>
      </c>
      <c r="N32">
        <f t="shared" si="4"/>
        <v>1.3344246942704231E-2</v>
      </c>
      <c r="O32">
        <f t="shared" si="4"/>
        <v>4.8309731891151061E-3</v>
      </c>
      <c r="P32">
        <f t="shared" si="4"/>
        <v>9.0876100659096695E-3</v>
      </c>
      <c r="Q32">
        <f t="shared" si="4"/>
        <v>9.0132737535891239E-2</v>
      </c>
      <c r="R32">
        <f t="shared" si="5"/>
        <v>4.2623802399177676E-3</v>
      </c>
      <c r="S32">
        <f t="shared" si="5"/>
        <v>2.2719025164774174E-2</v>
      </c>
      <c r="T32">
        <f t="shared" si="5"/>
        <v>1.0647335555109612E-2</v>
      </c>
      <c r="U32">
        <f t="shared" si="5"/>
        <v>1.7128318438397282E-4</v>
      </c>
      <c r="V32">
        <f t="shared" si="5"/>
        <v>4.2623802399177679E-2</v>
      </c>
      <c r="W32">
        <f t="shared" si="5"/>
        <v>0.21283758720285129</v>
      </c>
      <c r="X32">
        <f t="shared" si="5"/>
        <v>0.21384955315191842</v>
      </c>
    </row>
    <row r="33" spans="6:24" x14ac:dyDescent="0.25">
      <c r="F33">
        <v>27</v>
      </c>
      <c r="G33" s="14">
        <v>7.6300862288136706E-3</v>
      </c>
      <c r="H33">
        <f t="shared" si="4"/>
        <v>0.15738550140524499</v>
      </c>
      <c r="I33">
        <f t="shared" si="4"/>
        <v>3.0241128069124226E-2</v>
      </c>
      <c r="J33">
        <f t="shared" si="4"/>
        <v>7.3910625585518735E-3</v>
      </c>
      <c r="K33">
        <f t="shared" si="4"/>
        <v>7.3910625585518735E-3</v>
      </c>
      <c r="L33">
        <f t="shared" si="4"/>
        <v>7.3910625585518735E-3</v>
      </c>
      <c r="M33">
        <f t="shared" si="4"/>
        <v>3.7736325679201752E-3</v>
      </c>
      <c r="N33">
        <f t="shared" si="4"/>
        <v>3.7736325679201752E-3</v>
      </c>
      <c r="O33">
        <f t="shared" si="4"/>
        <v>1.8607825210786738E-3</v>
      </c>
      <c r="P33">
        <f t="shared" si="4"/>
        <v>2.8172075444994251E-3</v>
      </c>
      <c r="Q33">
        <f t="shared" si="4"/>
        <v>2.4128500468414998E-2</v>
      </c>
      <c r="R33">
        <f t="shared" si="5"/>
        <v>9.6546859839732879E-4</v>
      </c>
      <c r="S33">
        <f t="shared" si="5"/>
        <v>7.0430188612485636E-3</v>
      </c>
      <c r="T33">
        <f t="shared" si="5"/>
        <v>2.400106133528453E-3</v>
      </c>
      <c r="U33">
        <f t="shared" si="5"/>
        <v>1.5478212511710373E-4</v>
      </c>
      <c r="V33">
        <f t="shared" si="5"/>
        <v>9.6546859839732879E-3</v>
      </c>
      <c r="W33">
        <f t="shared" si="5"/>
        <v>4.7830294746014052E-2</v>
      </c>
      <c r="X33">
        <f t="shared" si="5"/>
        <v>0.16434637535131125</v>
      </c>
    </row>
    <row r="34" spans="6:24" x14ac:dyDescent="0.25">
      <c r="F34">
        <v>28</v>
      </c>
      <c r="G34" s="14">
        <v>0.18777462760268149</v>
      </c>
      <c r="H34">
        <f t="shared" si="4"/>
        <v>0.31138732970710792</v>
      </c>
      <c r="I34">
        <f t="shared" si="4"/>
        <v>9.2611868531378733E-2</v>
      </c>
      <c r="J34">
        <f t="shared" si="4"/>
        <v>1.3807805404462831E-2</v>
      </c>
      <c r="K34">
        <f t="shared" si="4"/>
        <v>1.3807805404462831E-2</v>
      </c>
      <c r="L34">
        <f t="shared" si="4"/>
        <v>1.3807805404462831E-2</v>
      </c>
      <c r="M34">
        <f t="shared" si="4"/>
        <v>1.1217054269176886E-2</v>
      </c>
      <c r="N34">
        <f t="shared" si="4"/>
        <v>1.1217054269176886E-2</v>
      </c>
      <c r="O34">
        <f t="shared" si="4"/>
        <v>4.1708099456066192E-3</v>
      </c>
      <c r="P34">
        <f t="shared" si="4"/>
        <v>7.6939321073917523E-3</v>
      </c>
      <c r="Q34">
        <f t="shared" si="4"/>
        <v>7.5462443235702656E-2</v>
      </c>
      <c r="R34">
        <f t="shared" si="5"/>
        <v>3.5295990396233476E-3</v>
      </c>
      <c r="S34">
        <f t="shared" si="5"/>
        <v>1.9234830268479382E-2</v>
      </c>
      <c r="T34">
        <f t="shared" si="5"/>
        <v>8.8142822823010468E-3</v>
      </c>
      <c r="U34">
        <f t="shared" si="5"/>
        <v>1.6761561080892566E-4</v>
      </c>
      <c r="V34">
        <f t="shared" si="5"/>
        <v>3.5295990396233476E-2</v>
      </c>
      <c r="W34">
        <f t="shared" si="5"/>
        <v>0.17616258496709483</v>
      </c>
      <c r="X34">
        <f t="shared" si="5"/>
        <v>0.20284683242677698</v>
      </c>
    </row>
    <row r="35" spans="6:24" x14ac:dyDescent="0.25">
      <c r="F35">
        <v>29</v>
      </c>
      <c r="G35" s="14">
        <v>0.5388118227904618</v>
      </c>
      <c r="H35">
        <f t="shared" si="4"/>
        <v>0.40974407883315839</v>
      </c>
      <c r="I35">
        <f t="shared" si="4"/>
        <v>0.13244635192742915</v>
      </c>
      <c r="J35">
        <f t="shared" si="4"/>
        <v>1.7906003284714932E-2</v>
      </c>
      <c r="K35">
        <f t="shared" si="4"/>
        <v>1.7906003284714932E-2</v>
      </c>
      <c r="L35">
        <f t="shared" si="4"/>
        <v>1.7906003284714932E-2</v>
      </c>
      <c r="M35">
        <f t="shared" si="4"/>
        <v>1.5970963810269322E-2</v>
      </c>
      <c r="N35">
        <f t="shared" si="4"/>
        <v>1.5970963810269322E-2</v>
      </c>
      <c r="O35">
        <f t="shared" si="4"/>
        <v>5.646161182497376E-3</v>
      </c>
      <c r="P35">
        <f t="shared" si="4"/>
        <v>1.080856249638335E-2</v>
      </c>
      <c r="Q35">
        <f t="shared" si="4"/>
        <v>0.10824802627771947</v>
      </c>
      <c r="R35">
        <f t="shared" si="5"/>
        <v>5.1672389125720876E-3</v>
      </c>
      <c r="S35">
        <f t="shared" si="5"/>
        <v>2.7021406240958376E-2</v>
      </c>
      <c r="T35">
        <f t="shared" si="5"/>
        <v>1.2910840883401048E-2</v>
      </c>
      <c r="U35">
        <f t="shared" si="5"/>
        <v>1.7581200656942986E-4</v>
      </c>
      <c r="V35">
        <f t="shared" si="5"/>
        <v>5.1672389125720877E-2</v>
      </c>
      <c r="W35">
        <f t="shared" si="5"/>
        <v>0.25812490329298476</v>
      </c>
      <c r="X35">
        <f t="shared" si="5"/>
        <v>0.22743601970828958</v>
      </c>
    </row>
    <row r="36" spans="6:24" x14ac:dyDescent="0.25">
      <c r="F36">
        <v>30</v>
      </c>
      <c r="G36" s="14">
        <v>0.66386452510316452</v>
      </c>
      <c r="H36">
        <f t="shared" si="4"/>
        <v>0.44230333214956824</v>
      </c>
      <c r="I36">
        <f t="shared" si="4"/>
        <v>0.14563284952057515</v>
      </c>
      <c r="J36">
        <f t="shared" si="4"/>
        <v>1.9262638839565343E-2</v>
      </c>
      <c r="K36">
        <f t="shared" si="4"/>
        <v>1.9262638839565343E-2</v>
      </c>
      <c r="L36">
        <f t="shared" si="4"/>
        <v>1.9262638839565343E-2</v>
      </c>
      <c r="M36">
        <f t="shared" si="4"/>
        <v>1.7544661053895801E-2</v>
      </c>
      <c r="N36">
        <f t="shared" si="4"/>
        <v>1.7544661053895801E-2</v>
      </c>
      <c r="O36">
        <f t="shared" si="4"/>
        <v>6.1345499822435239E-3</v>
      </c>
      <c r="P36">
        <f t="shared" si="4"/>
        <v>1.1839605518069663E-2</v>
      </c>
      <c r="Q36">
        <f t="shared" si="4"/>
        <v>0.11910111071652275</v>
      </c>
      <c r="R36">
        <f t="shared" si="5"/>
        <v>5.7093504802903121E-3</v>
      </c>
      <c r="S36">
        <f t="shared" si="5"/>
        <v>2.959901379517416E-2</v>
      </c>
      <c r="T36">
        <f t="shared" si="5"/>
        <v>1.4266933784029519E-2</v>
      </c>
      <c r="U36">
        <f t="shared" si="5"/>
        <v>1.7852527767913068E-4</v>
      </c>
      <c r="V36">
        <f t="shared" si="5"/>
        <v>5.7093504802903122E-2</v>
      </c>
      <c r="W36">
        <f t="shared" si="5"/>
        <v>0.28525707173577103</v>
      </c>
      <c r="X36">
        <f t="shared" si="5"/>
        <v>0.23557583303739205</v>
      </c>
    </row>
    <row r="37" spans="6:24" x14ac:dyDescent="0.25">
      <c r="F37">
        <v>31</v>
      </c>
      <c r="G37" s="14">
        <v>0.72910666501007215</v>
      </c>
      <c r="H37">
        <f t="shared" si="4"/>
        <v>0.46101134312431485</v>
      </c>
      <c r="I37">
        <f t="shared" si="4"/>
        <v>0.15320959396534753</v>
      </c>
      <c r="J37">
        <f t="shared" si="4"/>
        <v>2.0042139296846451E-2</v>
      </c>
      <c r="K37">
        <f t="shared" si="4"/>
        <v>2.0042139296846451E-2</v>
      </c>
      <c r="L37">
        <f t="shared" si="4"/>
        <v>2.0042139296846451E-2</v>
      </c>
      <c r="M37">
        <f t="shared" si="4"/>
        <v>1.8448881584341888E-2</v>
      </c>
      <c r="N37">
        <f t="shared" si="4"/>
        <v>1.8448881584341888E-2</v>
      </c>
      <c r="O37">
        <f t="shared" si="4"/>
        <v>6.4151701468647231E-3</v>
      </c>
      <c r="P37">
        <f t="shared" si="4"/>
        <v>1.2432025865603305E-2</v>
      </c>
      <c r="Q37">
        <f t="shared" si="4"/>
        <v>0.12533711437477163</v>
      </c>
      <c r="R37">
        <f t="shared" si="5"/>
        <v>6.0208388630198428E-3</v>
      </c>
      <c r="S37">
        <f t="shared" si="5"/>
        <v>3.1080064664008266E-2</v>
      </c>
      <c r="T37">
        <f t="shared" si="5"/>
        <v>1.5046122441127716E-2</v>
      </c>
      <c r="U37">
        <f t="shared" si="5"/>
        <v>1.8008427859369291E-4</v>
      </c>
      <c r="V37">
        <f t="shared" si="5"/>
        <v>6.0208388630198437E-2</v>
      </c>
      <c r="W37">
        <f t="shared" si="5"/>
        <v>0.30084676908121033</v>
      </c>
      <c r="X37">
        <f t="shared" si="5"/>
        <v>0.2402528357810787</v>
      </c>
    </row>
    <row r="38" spans="6:24" x14ac:dyDescent="0.25">
      <c r="F38">
        <v>32</v>
      </c>
      <c r="G38" s="14">
        <v>0.92904209706531449</v>
      </c>
      <c r="H38">
        <f t="shared" ref="H38:W53" si="6">_xlfn.NORM.INV($G38, H$4, H$5)</f>
        <v>0.54686939990388428</v>
      </c>
      <c r="I38">
        <f t="shared" si="6"/>
        <v>0.18798210696107315</v>
      </c>
      <c r="J38">
        <f t="shared" si="6"/>
        <v>2.3619558329328511E-2</v>
      </c>
      <c r="K38">
        <f t="shared" si="6"/>
        <v>2.3619558329328511E-2</v>
      </c>
      <c r="L38">
        <f t="shared" si="6"/>
        <v>2.3619558329328511E-2</v>
      </c>
      <c r="M38">
        <f t="shared" si="6"/>
        <v>2.2598687662021073E-2</v>
      </c>
      <c r="N38">
        <f t="shared" si="6"/>
        <v>2.2598687662021073E-2</v>
      </c>
      <c r="O38">
        <f t="shared" si="6"/>
        <v>7.7030409985582651E-3</v>
      </c>
      <c r="P38">
        <f t="shared" si="6"/>
        <v>1.5150864330289671E-2</v>
      </c>
      <c r="Q38">
        <f t="shared" si="6"/>
        <v>0.15395646663462809</v>
      </c>
      <c r="R38">
        <f t="shared" si="6"/>
        <v>7.4503755083996735E-3</v>
      </c>
      <c r="S38">
        <f t="shared" si="6"/>
        <v>3.7877160825724177E-2</v>
      </c>
      <c r="T38">
        <f t="shared" si="6"/>
        <v>1.8622110505996783E-2</v>
      </c>
      <c r="U38">
        <f t="shared" si="6"/>
        <v>1.8723911665865703E-4</v>
      </c>
      <c r="V38">
        <f t="shared" si="6"/>
        <v>7.4503755083996745E-2</v>
      </c>
      <c r="W38">
        <f t="shared" si="6"/>
        <v>0.37239371876323851</v>
      </c>
      <c r="X38">
        <f t="shared" ref="R38:AD53" si="7">_xlfn.NORM.INV($G38, X$4, X$5)</f>
        <v>0.26171734997597107</v>
      </c>
    </row>
    <row r="39" spans="6:24" x14ac:dyDescent="0.25">
      <c r="F39">
        <v>33</v>
      </c>
      <c r="G39" s="14">
        <v>0.71042881753832587</v>
      </c>
      <c r="H39">
        <f t="shared" si="6"/>
        <v>0.45546378929794429</v>
      </c>
      <c r="I39">
        <f t="shared" si="6"/>
        <v>0.15096283466566746</v>
      </c>
      <c r="J39">
        <f t="shared" si="6"/>
        <v>1.9810991220747681E-2</v>
      </c>
      <c r="K39">
        <f t="shared" si="6"/>
        <v>1.9810991220747681E-2</v>
      </c>
      <c r="L39">
        <f t="shared" si="6"/>
        <v>1.9810991220747681E-2</v>
      </c>
      <c r="M39">
        <f t="shared" si="6"/>
        <v>1.818074981606731E-2</v>
      </c>
      <c r="N39">
        <f t="shared" si="6"/>
        <v>1.818074981606731E-2</v>
      </c>
      <c r="O39">
        <f t="shared" si="6"/>
        <v>6.3319568394691649E-3</v>
      </c>
      <c r="P39">
        <f t="shared" si="6"/>
        <v>1.2256353327768237E-2</v>
      </c>
      <c r="Q39">
        <f t="shared" si="6"/>
        <v>0.12348792976598144</v>
      </c>
      <c r="R39">
        <f t="shared" si="7"/>
        <v>5.9284720918107731E-3</v>
      </c>
      <c r="S39">
        <f t="shared" si="7"/>
        <v>3.0640883319420595E-2</v>
      </c>
      <c r="T39">
        <f t="shared" si="7"/>
        <v>1.4815066824259383E-2</v>
      </c>
      <c r="U39">
        <f t="shared" si="7"/>
        <v>1.7962198244149535E-4</v>
      </c>
      <c r="V39">
        <f t="shared" si="7"/>
        <v>5.9284720918107742E-2</v>
      </c>
      <c r="W39">
        <f t="shared" si="7"/>
        <v>0.29622390001846532</v>
      </c>
      <c r="X39">
        <f t="shared" si="7"/>
        <v>0.23886594732448607</v>
      </c>
    </row>
    <row r="40" spans="6:24" x14ac:dyDescent="0.25">
      <c r="F40">
        <v>34</v>
      </c>
      <c r="G40" s="14">
        <v>0.30626735725374088</v>
      </c>
      <c r="H40">
        <f t="shared" si="6"/>
        <v>0.34935413554192163</v>
      </c>
      <c r="I40">
        <f t="shared" si="6"/>
        <v>0.10798842489447828</v>
      </c>
      <c r="J40">
        <f t="shared" si="6"/>
        <v>1.5389755647580067E-2</v>
      </c>
      <c r="K40">
        <f t="shared" si="6"/>
        <v>1.5389755647580067E-2</v>
      </c>
      <c r="L40">
        <f t="shared" si="6"/>
        <v>1.5389755647580067E-2</v>
      </c>
      <c r="M40">
        <f t="shared" si="6"/>
        <v>1.3052116551192882E-2</v>
      </c>
      <c r="N40">
        <f t="shared" si="6"/>
        <v>1.3052116551192882E-2</v>
      </c>
      <c r="O40">
        <f t="shared" si="6"/>
        <v>4.7403120331288243E-3</v>
      </c>
      <c r="P40">
        <f t="shared" si="6"/>
        <v>8.896214292160854E-3</v>
      </c>
      <c r="Q40">
        <f t="shared" si="6"/>
        <v>8.8118045180640564E-2</v>
      </c>
      <c r="R40">
        <f t="shared" si="7"/>
        <v>4.1617463567729957E-3</v>
      </c>
      <c r="S40">
        <f t="shared" si="7"/>
        <v>2.2240535730402133E-2</v>
      </c>
      <c r="T40">
        <f t="shared" si="7"/>
        <v>1.0395599745321039E-2</v>
      </c>
      <c r="U40">
        <f t="shared" si="7"/>
        <v>1.7077951129516013E-4</v>
      </c>
      <c r="V40">
        <f t="shared" si="7"/>
        <v>4.1617463567729968E-2</v>
      </c>
      <c r="W40">
        <f t="shared" si="7"/>
        <v>0.20780095704934234</v>
      </c>
      <c r="X40">
        <f t="shared" si="7"/>
        <v>0.21233853388548041</v>
      </c>
    </row>
    <row r="41" spans="6:24" x14ac:dyDescent="0.25">
      <c r="F41">
        <v>35</v>
      </c>
      <c r="G41" s="14">
        <v>0.49715331764984172</v>
      </c>
      <c r="H41">
        <f t="shared" si="6"/>
        <v>0.39928643649781326</v>
      </c>
      <c r="I41">
        <f t="shared" si="6"/>
        <v>0.1282110067816144</v>
      </c>
      <c r="J41">
        <f t="shared" si="6"/>
        <v>1.7470268187408888E-2</v>
      </c>
      <c r="K41">
        <f t="shared" si="6"/>
        <v>1.7470268187408888E-2</v>
      </c>
      <c r="L41">
        <f t="shared" si="6"/>
        <v>1.7470268187408888E-2</v>
      </c>
      <c r="M41">
        <f t="shared" si="6"/>
        <v>1.5465511097394311E-2</v>
      </c>
      <c r="N41">
        <f t="shared" si="6"/>
        <v>1.5465511097394311E-2</v>
      </c>
      <c r="O41">
        <f t="shared" si="6"/>
        <v>5.4892965474671995E-3</v>
      </c>
      <c r="P41">
        <f t="shared" si="6"/>
        <v>1.0477403822430755E-2</v>
      </c>
      <c r="Q41">
        <f t="shared" si="6"/>
        <v>0.1047621454992711</v>
      </c>
      <c r="R41">
        <f t="shared" si="7"/>
        <v>4.9931191676885912E-3</v>
      </c>
      <c r="S41">
        <f t="shared" si="7"/>
        <v>2.619350955607689E-2</v>
      </c>
      <c r="T41">
        <f t="shared" si="7"/>
        <v>1.2475280080133926E-2</v>
      </c>
      <c r="U41">
        <f t="shared" si="7"/>
        <v>1.7494053637481777E-4</v>
      </c>
      <c r="V41">
        <f t="shared" si="7"/>
        <v>4.9931191676885922E-2</v>
      </c>
      <c r="W41">
        <f t="shared" si="7"/>
        <v>0.24941037564090277</v>
      </c>
      <c r="X41">
        <f t="shared" si="7"/>
        <v>0.22482160912445331</v>
      </c>
    </row>
    <row r="42" spans="6:24" x14ac:dyDescent="0.25">
      <c r="F42">
        <v>36</v>
      </c>
      <c r="G42" s="14">
        <v>0.24753222160416577</v>
      </c>
      <c r="H42">
        <f t="shared" si="6"/>
        <v>0.33177239957998939</v>
      </c>
      <c r="I42">
        <f t="shared" si="6"/>
        <v>0.10086782182989572</v>
      </c>
      <c r="J42">
        <f t="shared" si="6"/>
        <v>1.4657183315832892E-2</v>
      </c>
      <c r="K42">
        <f t="shared" si="6"/>
        <v>1.4657183315832892E-2</v>
      </c>
      <c r="L42">
        <f t="shared" si="6"/>
        <v>1.4657183315832892E-2</v>
      </c>
      <c r="M42">
        <f t="shared" si="6"/>
        <v>1.2202332646366157E-2</v>
      </c>
      <c r="N42">
        <f t="shared" si="6"/>
        <v>1.2202332646366157E-2</v>
      </c>
      <c r="O42">
        <f t="shared" si="6"/>
        <v>4.4765859936998411E-3</v>
      </c>
      <c r="P42">
        <f t="shared" si="6"/>
        <v>8.3394593200329988E-3</v>
      </c>
      <c r="Q42">
        <f t="shared" si="6"/>
        <v>8.2257466526663131E-2</v>
      </c>
      <c r="R42">
        <f t="shared" si="6"/>
        <v>3.8690104530068239E-3</v>
      </c>
      <c r="S42">
        <f t="shared" si="6"/>
        <v>2.0848648300082498E-2</v>
      </c>
      <c r="T42">
        <f t="shared" si="6"/>
        <v>9.6633204425065605E-3</v>
      </c>
      <c r="U42">
        <f t="shared" si="6"/>
        <v>1.6931436663166578E-4</v>
      </c>
      <c r="V42">
        <f t="shared" si="6"/>
        <v>3.8690104530068242E-2</v>
      </c>
      <c r="W42">
        <f t="shared" si="6"/>
        <v>0.19314980344333149</v>
      </c>
      <c r="X42">
        <f t="shared" si="7"/>
        <v>0.20794309989499735</v>
      </c>
    </row>
    <row r="43" spans="6:24" x14ac:dyDescent="0.25">
      <c r="F43">
        <v>37</v>
      </c>
      <c r="G43" s="14">
        <v>0.39520455362652418</v>
      </c>
      <c r="H43">
        <f t="shared" si="6"/>
        <v>0.37342205974691861</v>
      </c>
      <c r="I43">
        <f t="shared" si="6"/>
        <v>0.11773593419750204</v>
      </c>
      <c r="J43">
        <f t="shared" si="6"/>
        <v>1.6392585822788276E-2</v>
      </c>
      <c r="K43">
        <f t="shared" si="6"/>
        <v>1.6392585822788276E-2</v>
      </c>
      <c r="L43">
        <f t="shared" si="6"/>
        <v>1.6392585822788276E-2</v>
      </c>
      <c r="M43">
        <f t="shared" si="6"/>
        <v>1.4215399554434401E-2</v>
      </c>
      <c r="N43">
        <f t="shared" si="6"/>
        <v>1.4215399554434401E-2</v>
      </c>
      <c r="O43">
        <f t="shared" si="6"/>
        <v>5.101330896203779E-3</v>
      </c>
      <c r="P43">
        <f t="shared" si="6"/>
        <v>9.6583652253190901E-3</v>
      </c>
      <c r="Q43">
        <f t="shared" si="6"/>
        <v>9.6140686582306206E-2</v>
      </c>
      <c r="R43">
        <f t="shared" si="7"/>
        <v>4.5624772947861951E-3</v>
      </c>
      <c r="S43">
        <f t="shared" si="7"/>
        <v>2.4145913063297726E-2</v>
      </c>
      <c r="T43">
        <f t="shared" si="7"/>
        <v>1.1398028788459162E-2</v>
      </c>
      <c r="U43">
        <f t="shared" si="7"/>
        <v>1.7278517164557656E-4</v>
      </c>
      <c r="V43">
        <f t="shared" si="7"/>
        <v>4.5624772947861957E-2</v>
      </c>
      <c r="W43">
        <f t="shared" si="7"/>
        <v>0.22785715942143639</v>
      </c>
      <c r="X43">
        <f t="shared" si="7"/>
        <v>0.21835551493672964</v>
      </c>
    </row>
    <row r="44" spans="6:24" x14ac:dyDescent="0.25">
      <c r="F44">
        <v>38</v>
      </c>
      <c r="G44" s="14">
        <v>0.46119167690922747</v>
      </c>
      <c r="H44">
        <f t="shared" si="6"/>
        <v>0.39025680258557394</v>
      </c>
      <c r="I44">
        <f t="shared" si="6"/>
        <v>0.12455400504715745</v>
      </c>
      <c r="J44">
        <f t="shared" si="6"/>
        <v>1.7094033441065581E-2</v>
      </c>
      <c r="K44">
        <f t="shared" si="6"/>
        <v>1.7094033441065581E-2</v>
      </c>
      <c r="L44">
        <f t="shared" si="6"/>
        <v>1.7094033441065581E-2</v>
      </c>
      <c r="M44">
        <f t="shared" si="6"/>
        <v>1.5029078791636074E-2</v>
      </c>
      <c r="N44">
        <f t="shared" si="6"/>
        <v>1.5029078791636074E-2</v>
      </c>
      <c r="O44">
        <f t="shared" si="6"/>
        <v>5.3538520387836092E-3</v>
      </c>
      <c r="P44">
        <f t="shared" si="6"/>
        <v>1.0191465415209842E-2</v>
      </c>
      <c r="Q44">
        <f t="shared" si="6"/>
        <v>0.10175226752852465</v>
      </c>
      <c r="R44">
        <f t="shared" si="7"/>
        <v>4.8427757630498062E-3</v>
      </c>
      <c r="S44">
        <f t="shared" si="7"/>
        <v>2.5478663538024606E-2</v>
      </c>
      <c r="T44">
        <f t="shared" si="7"/>
        <v>1.2099195827689155E-2</v>
      </c>
      <c r="U44">
        <f t="shared" si="7"/>
        <v>1.7418806688213116E-4</v>
      </c>
      <c r="V44">
        <f t="shared" si="7"/>
        <v>4.8427757630498065E-2</v>
      </c>
      <c r="W44">
        <f t="shared" si="7"/>
        <v>0.24188583120793519</v>
      </c>
      <c r="X44">
        <f t="shared" si="7"/>
        <v>0.22256420064639346</v>
      </c>
    </row>
    <row r="45" spans="6:24" x14ac:dyDescent="0.25">
      <c r="F45">
        <v>39</v>
      </c>
      <c r="G45" s="14">
        <v>6.1272306283446043E-2</v>
      </c>
      <c r="H45">
        <f t="shared" si="6"/>
        <v>0.24558195045442779</v>
      </c>
      <c r="I45">
        <f t="shared" si="6"/>
        <v>6.5960689934043262E-2</v>
      </c>
      <c r="J45">
        <f t="shared" si="6"/>
        <v>1.1065914602267824E-2</v>
      </c>
      <c r="K45">
        <f t="shared" si="6"/>
        <v>1.1065914602267824E-2</v>
      </c>
      <c r="L45">
        <f t="shared" si="6"/>
        <v>1.1065914602267824E-2</v>
      </c>
      <c r="M45">
        <f t="shared" si="6"/>
        <v>8.0364609386306789E-3</v>
      </c>
      <c r="N45">
        <f t="shared" si="6"/>
        <v>8.0364609386306789E-3</v>
      </c>
      <c r="O45">
        <f t="shared" si="6"/>
        <v>3.1837292568164164E-3</v>
      </c>
      <c r="P45">
        <f t="shared" si="6"/>
        <v>5.6100950977235478E-3</v>
      </c>
      <c r="Q45">
        <f t="shared" si="6"/>
        <v>5.3527316818142601E-2</v>
      </c>
      <c r="R45">
        <f t="shared" si="7"/>
        <v>2.4339394750662229E-3</v>
      </c>
      <c r="S45">
        <f t="shared" si="7"/>
        <v>1.4025237744308869E-2</v>
      </c>
      <c r="T45">
        <f t="shared" si="7"/>
        <v>6.0734882364269181E-3</v>
      </c>
      <c r="U45">
        <f t="shared" si="7"/>
        <v>1.6213182920453564E-4</v>
      </c>
      <c r="V45">
        <f t="shared" si="7"/>
        <v>2.4339394750662231E-2</v>
      </c>
      <c r="W45">
        <f t="shared" si="7"/>
        <v>0.12132586567951559</v>
      </c>
      <c r="X45">
        <f t="shared" si="7"/>
        <v>0.18639548761360694</v>
      </c>
    </row>
    <row r="46" spans="6:24" x14ac:dyDescent="0.25">
      <c r="F46">
        <v>40</v>
      </c>
      <c r="G46" s="14">
        <v>3.1563122411325528E-2</v>
      </c>
      <c r="H46">
        <f t="shared" si="6"/>
        <v>0.21416987386640338</v>
      </c>
      <c r="I46">
        <f t="shared" si="6"/>
        <v>5.3238798915893379E-2</v>
      </c>
      <c r="J46">
        <f t="shared" si="6"/>
        <v>9.7570780777668058E-3</v>
      </c>
      <c r="K46">
        <f t="shared" si="6"/>
        <v>9.7570780777668058E-3</v>
      </c>
      <c r="L46">
        <f t="shared" si="6"/>
        <v>9.7570780777668058E-3</v>
      </c>
      <c r="M46">
        <f t="shared" si="6"/>
        <v>6.5182105702094994E-3</v>
      </c>
      <c r="N46">
        <f t="shared" si="6"/>
        <v>6.5182105702094994E-3</v>
      </c>
      <c r="O46">
        <f t="shared" si="6"/>
        <v>2.7125481079960504E-3</v>
      </c>
      <c r="P46">
        <f t="shared" si="6"/>
        <v>4.6153793391027756E-3</v>
      </c>
      <c r="Q46">
        <f t="shared" si="6"/>
        <v>4.3056624622134464E-2</v>
      </c>
      <c r="R46">
        <f t="shared" si="7"/>
        <v>1.9109283998756167E-3</v>
      </c>
      <c r="S46">
        <f t="shared" si="7"/>
        <v>1.1538448347756938E-2</v>
      </c>
      <c r="T46">
        <f t="shared" si="7"/>
        <v>4.7651752465357015E-3</v>
      </c>
      <c r="U46">
        <f t="shared" si="7"/>
        <v>1.595141561555336E-4</v>
      </c>
      <c r="V46">
        <f t="shared" si="7"/>
        <v>1.9109283998756169E-2</v>
      </c>
      <c r="W46">
        <f t="shared" si="7"/>
        <v>9.5149658724105052E-2</v>
      </c>
      <c r="X46">
        <f t="shared" si="7"/>
        <v>0.17854246846660082</v>
      </c>
    </row>
    <row r="47" spans="6:24" x14ac:dyDescent="0.25">
      <c r="F47">
        <v>41</v>
      </c>
      <c r="G47" s="14">
        <v>0.36000156548384976</v>
      </c>
      <c r="H47">
        <f t="shared" si="6"/>
        <v>0.36415453912147416</v>
      </c>
      <c r="I47">
        <f t="shared" si="6"/>
        <v>0.11398258834419704</v>
      </c>
      <c r="J47">
        <f t="shared" si="6"/>
        <v>1.6006439130061424E-2</v>
      </c>
      <c r="K47">
        <f t="shared" si="6"/>
        <v>1.6006439130061424E-2</v>
      </c>
      <c r="L47">
        <f t="shared" si="6"/>
        <v>1.6006439130061424E-2</v>
      </c>
      <c r="M47">
        <f t="shared" si="6"/>
        <v>1.3767469390871253E-2</v>
      </c>
      <c r="N47">
        <f t="shared" si="6"/>
        <v>1.3767469390871253E-2</v>
      </c>
      <c r="O47">
        <f t="shared" si="6"/>
        <v>4.9623180868221123E-3</v>
      </c>
      <c r="P47">
        <f t="shared" si="6"/>
        <v>9.3648937388466826E-3</v>
      </c>
      <c r="Q47">
        <f t="shared" si="6"/>
        <v>9.305151304049139E-2</v>
      </c>
      <c r="R47">
        <f t="shared" si="7"/>
        <v>4.408173076372545E-3</v>
      </c>
      <c r="S47">
        <f t="shared" si="7"/>
        <v>2.3412234347116707E-2</v>
      </c>
      <c r="T47">
        <f t="shared" si="7"/>
        <v>1.10120365544094E-2</v>
      </c>
      <c r="U47">
        <f t="shared" si="7"/>
        <v>1.7201287826012284E-4</v>
      </c>
      <c r="V47">
        <f t="shared" si="7"/>
        <v>4.4081730763725457E-2</v>
      </c>
      <c r="W47">
        <f t="shared" si="7"/>
        <v>0.22013438002557645</v>
      </c>
      <c r="X47">
        <f t="shared" si="7"/>
        <v>0.21603863478036853</v>
      </c>
    </row>
    <row r="48" spans="6:24" x14ac:dyDescent="0.25">
      <c r="F48">
        <v>42</v>
      </c>
      <c r="G48" s="14">
        <v>0.72098040128987828</v>
      </c>
      <c r="H48">
        <f t="shared" si="6"/>
        <v>0.45857564439620613</v>
      </c>
      <c r="I48">
        <f t="shared" si="6"/>
        <v>0.1522231359804635</v>
      </c>
      <c r="J48">
        <f t="shared" si="6"/>
        <v>1.9940651849841923E-2</v>
      </c>
      <c r="K48">
        <f t="shared" si="6"/>
        <v>1.9940651849841923E-2</v>
      </c>
      <c r="L48">
        <f t="shared" si="6"/>
        <v>1.9940651849841923E-2</v>
      </c>
      <c r="M48">
        <f t="shared" si="6"/>
        <v>1.8331156145816631E-2</v>
      </c>
      <c r="N48">
        <f t="shared" si="6"/>
        <v>1.8331156145816631E-2</v>
      </c>
      <c r="O48">
        <f t="shared" si="6"/>
        <v>6.3786346659430926E-3</v>
      </c>
      <c r="P48">
        <f t="shared" si="6"/>
        <v>1.2354895405879864E-2</v>
      </c>
      <c r="Q48">
        <f t="shared" si="6"/>
        <v>0.12452521479873539</v>
      </c>
      <c r="R48">
        <f t="shared" si="7"/>
        <v>5.980284479196833E-3</v>
      </c>
      <c r="S48">
        <f t="shared" si="7"/>
        <v>3.0887238514699659E-2</v>
      </c>
      <c r="T48">
        <f t="shared" si="7"/>
        <v>1.4944675589101989E-2</v>
      </c>
      <c r="U48">
        <f t="shared" si="7"/>
        <v>1.7988130369968384E-4</v>
      </c>
      <c r="V48">
        <f t="shared" si="7"/>
        <v>5.9802844791968339E-2</v>
      </c>
      <c r="W48">
        <f t="shared" si="7"/>
        <v>0.29881706073609854</v>
      </c>
      <c r="X48">
        <f t="shared" si="7"/>
        <v>0.23964391109905153</v>
      </c>
    </row>
    <row r="49" spans="6:25" x14ac:dyDescent="0.25">
      <c r="F49">
        <v>43</v>
      </c>
      <c r="G49" s="14">
        <v>0.98040974904395584</v>
      </c>
      <c r="H49">
        <f t="shared" si="6"/>
        <v>0.60622861387528415</v>
      </c>
      <c r="I49">
        <f t="shared" si="6"/>
        <v>0.21202258861949008</v>
      </c>
      <c r="J49">
        <f t="shared" si="6"/>
        <v>2.609285891147017E-2</v>
      </c>
      <c r="K49">
        <f t="shared" si="6"/>
        <v>2.609285891147017E-2</v>
      </c>
      <c r="L49">
        <f t="shared" si="6"/>
        <v>2.609285891147017E-2</v>
      </c>
      <c r="M49">
        <f t="shared" si="6"/>
        <v>2.54677163373054E-2</v>
      </c>
      <c r="N49">
        <f t="shared" si="6"/>
        <v>2.54677163373054E-2</v>
      </c>
      <c r="O49">
        <f t="shared" si="6"/>
        <v>8.5934292081292635E-3</v>
      </c>
      <c r="P49">
        <f t="shared" si="6"/>
        <v>1.7030572772717332E-2</v>
      </c>
      <c r="Q49">
        <f t="shared" si="6"/>
        <v>0.17374287129176136</v>
      </c>
      <c r="R49">
        <f t="shared" si="7"/>
        <v>8.4387064210234806E-3</v>
      </c>
      <c r="S49">
        <f t="shared" si="7"/>
        <v>4.2576431931793335E-2</v>
      </c>
      <c r="T49">
        <f t="shared" si="7"/>
        <v>2.1094421767905588E-2</v>
      </c>
      <c r="U49">
        <f t="shared" si="7"/>
        <v>1.9218571782294035E-4</v>
      </c>
      <c r="V49">
        <f t="shared" si="7"/>
        <v>8.4387064210234813E-2</v>
      </c>
      <c r="W49">
        <f t="shared" si="7"/>
        <v>0.42185874108583887</v>
      </c>
      <c r="X49">
        <f t="shared" si="7"/>
        <v>0.27655715346882104</v>
      </c>
    </row>
    <row r="50" spans="6:25" x14ac:dyDescent="0.25">
      <c r="F50">
        <v>44</v>
      </c>
      <c r="G50" s="14">
        <v>9.613874516937615E-2</v>
      </c>
      <c r="H50">
        <f t="shared" si="6"/>
        <v>0.26961287678483797</v>
      </c>
      <c r="I50">
        <f t="shared" si="6"/>
        <v>7.5693215097859395E-2</v>
      </c>
      <c r="J50">
        <f t="shared" si="6"/>
        <v>1.2067203199368248E-2</v>
      </c>
      <c r="K50">
        <f t="shared" si="6"/>
        <v>1.2067203199368248E-2</v>
      </c>
      <c r="L50">
        <f t="shared" si="6"/>
        <v>1.2067203199368248E-2</v>
      </c>
      <c r="M50">
        <f t="shared" si="6"/>
        <v>9.1979557112671709E-3</v>
      </c>
      <c r="N50">
        <f t="shared" si="6"/>
        <v>9.1979557112671709E-3</v>
      </c>
      <c r="O50">
        <f t="shared" si="6"/>
        <v>3.5441931517725691E-3</v>
      </c>
      <c r="P50">
        <f t="shared" si="6"/>
        <v>6.3710744315198702E-3</v>
      </c>
      <c r="Q50">
        <f t="shared" si="6"/>
        <v>6.1537625594945994E-2</v>
      </c>
      <c r="R50">
        <f t="shared" si="7"/>
        <v>2.8340543984675523E-3</v>
      </c>
      <c r="S50">
        <f t="shared" si="7"/>
        <v>1.5927686078799675E-2</v>
      </c>
      <c r="T50">
        <f t="shared" si="7"/>
        <v>7.074376318088502E-3</v>
      </c>
      <c r="U50">
        <f t="shared" si="7"/>
        <v>1.6413440639873649E-4</v>
      </c>
      <c r="V50">
        <f t="shared" si="7"/>
        <v>2.8340543984675528E-2</v>
      </c>
      <c r="W50">
        <f t="shared" si="7"/>
        <v>0.14135123710608521</v>
      </c>
      <c r="X50">
        <f t="shared" si="7"/>
        <v>0.19240321919620948</v>
      </c>
    </row>
    <row r="51" spans="6:25" x14ac:dyDescent="0.25">
      <c r="F51">
        <v>45</v>
      </c>
      <c r="G51" s="14">
        <v>0.72643883419790434</v>
      </c>
      <c r="H51">
        <f t="shared" si="6"/>
        <v>0.46020778293591502</v>
      </c>
      <c r="I51">
        <f t="shared" si="6"/>
        <v>0.1528841520890456</v>
      </c>
      <c r="J51">
        <f t="shared" si="6"/>
        <v>2.0008657622329794E-2</v>
      </c>
      <c r="K51">
        <f t="shared" si="6"/>
        <v>2.0008657622329794E-2</v>
      </c>
      <c r="L51">
        <f t="shared" si="6"/>
        <v>2.0008657622329794E-2</v>
      </c>
      <c r="M51">
        <f t="shared" si="6"/>
        <v>1.8410042841902563E-2</v>
      </c>
      <c r="N51">
        <f t="shared" si="6"/>
        <v>1.8410042841902563E-2</v>
      </c>
      <c r="O51">
        <f t="shared" si="6"/>
        <v>6.403116744038726E-3</v>
      </c>
      <c r="P51">
        <f t="shared" si="6"/>
        <v>1.2406579792970645E-2</v>
      </c>
      <c r="Q51">
        <f t="shared" si="6"/>
        <v>0.12506926097863835</v>
      </c>
      <c r="R51">
        <f t="shared" si="7"/>
        <v>6.0074595858829859E-3</v>
      </c>
      <c r="S51">
        <f t="shared" si="7"/>
        <v>3.1016449482426614E-2</v>
      </c>
      <c r="T51">
        <f t="shared" si="7"/>
        <v>1.5012654159280863E-2</v>
      </c>
      <c r="U51">
        <f t="shared" si="7"/>
        <v>1.8001731524465959E-4</v>
      </c>
      <c r="V51">
        <f t="shared" si="7"/>
        <v>6.0074595858829863E-2</v>
      </c>
      <c r="W51">
        <f t="shared" si="7"/>
        <v>0.30017714898354697</v>
      </c>
      <c r="X51">
        <f t="shared" si="7"/>
        <v>0.24005194573397876</v>
      </c>
    </row>
    <row r="52" spans="6:25" x14ac:dyDescent="0.25">
      <c r="F52">
        <v>46</v>
      </c>
      <c r="G52" s="14">
        <v>5.5158653643607503E-2</v>
      </c>
      <c r="H52">
        <f t="shared" si="6"/>
        <v>0.24032314430747681</v>
      </c>
      <c r="I52">
        <f t="shared" si="6"/>
        <v>6.3830873444528119E-2</v>
      </c>
      <c r="J52">
        <f t="shared" si="6"/>
        <v>1.0846797679478199E-2</v>
      </c>
      <c r="K52">
        <f t="shared" si="6"/>
        <v>1.0846797679478199E-2</v>
      </c>
      <c r="L52">
        <f t="shared" si="6"/>
        <v>1.0846797679478199E-2</v>
      </c>
      <c r="M52">
        <f t="shared" si="6"/>
        <v>7.7822853081947144E-3</v>
      </c>
      <c r="N52">
        <f t="shared" si="6"/>
        <v>7.7822853081947144E-3</v>
      </c>
      <c r="O52">
        <f t="shared" si="6"/>
        <v>3.1048471646121516E-3</v>
      </c>
      <c r="P52">
        <f t="shared" si="6"/>
        <v>5.4435662364034337E-3</v>
      </c>
      <c r="Q52">
        <f t="shared" si="6"/>
        <v>5.1774381435825606E-2</v>
      </c>
      <c r="R52">
        <f t="shared" si="7"/>
        <v>2.3463803527194889E-3</v>
      </c>
      <c r="S52">
        <f t="shared" si="7"/>
        <v>1.3608915591008583E-2</v>
      </c>
      <c r="T52">
        <f t="shared" si="7"/>
        <v>5.8544589604064097E-3</v>
      </c>
      <c r="U52">
        <f t="shared" si="7"/>
        <v>1.6169359535895639E-4</v>
      </c>
      <c r="V52">
        <f t="shared" si="7"/>
        <v>2.3463803527194894E-2</v>
      </c>
      <c r="W52">
        <f t="shared" si="7"/>
        <v>0.11694361487049221</v>
      </c>
      <c r="X52">
        <f t="shared" si="7"/>
        <v>0.18508078607686917</v>
      </c>
    </row>
    <row r="53" spans="6:25" x14ac:dyDescent="0.25">
      <c r="F53">
        <v>47</v>
      </c>
      <c r="G53" s="14">
        <v>0.93488717916570008</v>
      </c>
      <c r="H53">
        <f t="shared" si="6"/>
        <v>0.55132126907080514</v>
      </c>
      <c r="I53">
        <f t="shared" si="6"/>
        <v>0.18978511397367609</v>
      </c>
      <c r="J53">
        <f t="shared" si="6"/>
        <v>2.3805052877950213E-2</v>
      </c>
      <c r="K53">
        <f t="shared" si="6"/>
        <v>2.3805052877950213E-2</v>
      </c>
      <c r="L53">
        <f t="shared" si="6"/>
        <v>2.3805052877950213E-2</v>
      </c>
      <c r="M53">
        <f t="shared" si="6"/>
        <v>2.2813861338422246E-2</v>
      </c>
      <c r="N53">
        <f t="shared" si="6"/>
        <v>2.2813861338422246E-2</v>
      </c>
      <c r="O53">
        <f t="shared" si="6"/>
        <v>7.7698190360620768E-3</v>
      </c>
      <c r="P53">
        <f t="shared" si="6"/>
        <v>1.5291840187242164E-2</v>
      </c>
      <c r="Q53">
        <f t="shared" si="6"/>
        <v>0.1554404230236017</v>
      </c>
      <c r="R53">
        <f t="shared" si="7"/>
        <v>7.5244991300289048E-3</v>
      </c>
      <c r="S53">
        <f t="shared" si="7"/>
        <v>3.8229600468105411E-2</v>
      </c>
      <c r="T53">
        <f t="shared" si="7"/>
        <v>1.8807530856799034E-2</v>
      </c>
      <c r="U53">
        <f t="shared" si="7"/>
        <v>1.8761010575590043E-4</v>
      </c>
      <c r="V53">
        <f t="shared" si="7"/>
        <v>7.5244991300289055E-2</v>
      </c>
      <c r="W53">
        <f t="shared" si="7"/>
        <v>0.37610353553785303</v>
      </c>
      <c r="X53">
        <f t="shared" si="7"/>
        <v>0.26283031726770123</v>
      </c>
    </row>
    <row r="54" spans="6:25" x14ac:dyDescent="0.25">
      <c r="F54">
        <v>48</v>
      </c>
      <c r="G54" s="14">
        <v>0.96535382940472891</v>
      </c>
      <c r="H54">
        <f t="shared" ref="H54:W67" si="8">_xlfn.NORM.INV($G54, H$4, H$5)</f>
        <v>0.58165089179848617</v>
      </c>
      <c r="I54">
        <f t="shared" si="8"/>
        <v>0.20206861117838693</v>
      </c>
      <c r="J54">
        <f t="shared" si="8"/>
        <v>2.506878715827026E-2</v>
      </c>
      <c r="K54">
        <f t="shared" si="8"/>
        <v>2.506878715827026E-2</v>
      </c>
      <c r="L54">
        <f t="shared" si="8"/>
        <v>2.506878715827026E-2</v>
      </c>
      <c r="M54">
        <f t="shared" si="8"/>
        <v>2.4279793103593503E-2</v>
      </c>
      <c r="N54">
        <f t="shared" si="8"/>
        <v>2.4279793103593503E-2</v>
      </c>
      <c r="O54">
        <f t="shared" si="8"/>
        <v>8.2247633769772944E-3</v>
      </c>
      <c r="P54">
        <f t="shared" si="8"/>
        <v>1.6252278240285398E-2</v>
      </c>
      <c r="Q54">
        <f t="shared" si="8"/>
        <v>0.16555029726616208</v>
      </c>
      <c r="R54">
        <f t="shared" si="8"/>
        <v>8.0294873484447957E-3</v>
      </c>
      <c r="S54">
        <f t="shared" si="8"/>
        <v>4.0630695600713501E-2</v>
      </c>
      <c r="T54">
        <f t="shared" si="8"/>
        <v>2.0070759643406953E-2</v>
      </c>
      <c r="U54">
        <f t="shared" si="8"/>
        <v>1.9013757431654053E-4</v>
      </c>
      <c r="V54">
        <f t="shared" si="8"/>
        <v>8.0294873484447971E-2</v>
      </c>
      <c r="W54">
        <f t="shared" si="8"/>
        <v>0.40137771565054192</v>
      </c>
      <c r="X54">
        <f t="shared" ref="R54:AD67" si="9">_xlfn.NORM.INV($G54, X$4, X$5)</f>
        <v>0.27041272294962154</v>
      </c>
    </row>
    <row r="55" spans="6:25" x14ac:dyDescent="0.25">
      <c r="F55">
        <v>49</v>
      </c>
      <c r="G55" s="14">
        <v>0.99138451804446381</v>
      </c>
      <c r="H55">
        <f t="shared" si="8"/>
        <v>0.63817420216312615</v>
      </c>
      <c r="I55">
        <f t="shared" si="8"/>
        <v>0.22496055187606612</v>
      </c>
      <c r="J55">
        <f t="shared" si="8"/>
        <v>2.7423925090130259E-2</v>
      </c>
      <c r="K55">
        <f t="shared" si="8"/>
        <v>2.7423925090130259E-2</v>
      </c>
      <c r="L55">
        <f t="shared" si="8"/>
        <v>2.7423925090130259E-2</v>
      </c>
      <c r="M55">
        <f t="shared" si="8"/>
        <v>2.7011753104551096E-2</v>
      </c>
      <c r="N55">
        <f t="shared" si="8"/>
        <v>2.7011753104551096E-2</v>
      </c>
      <c r="O55">
        <f t="shared" si="8"/>
        <v>9.0726130324468926E-3</v>
      </c>
      <c r="P55">
        <f t="shared" si="8"/>
        <v>1.8042183068498998E-2</v>
      </c>
      <c r="Q55">
        <f t="shared" si="8"/>
        <v>0.18439140072104207</v>
      </c>
      <c r="R55">
        <f t="shared" si="9"/>
        <v>8.9706004660160509E-3</v>
      </c>
      <c r="S55">
        <f t="shared" si="9"/>
        <v>4.5105457671247497E-2</v>
      </c>
      <c r="T55">
        <f t="shared" si="9"/>
        <v>2.2424955520094207E-2</v>
      </c>
      <c r="U55">
        <f t="shared" si="9"/>
        <v>1.9484785018026053E-4</v>
      </c>
      <c r="V55">
        <f t="shared" si="9"/>
        <v>8.9706004660160515E-2</v>
      </c>
      <c r="W55">
        <f t="shared" si="9"/>
        <v>0.44847953223256909</v>
      </c>
      <c r="X55">
        <f t="shared" si="9"/>
        <v>0.28454355054078151</v>
      </c>
    </row>
    <row r="56" spans="6:25" x14ac:dyDescent="0.25">
      <c r="G56" s="14"/>
    </row>
    <row r="57" spans="6:25" x14ac:dyDescent="0.25">
      <c r="F57" t="str" cm="1">
        <f t="array" ref="F57:W57">TRANSPOSE(B2:B19)</f>
        <v>Low</v>
      </c>
      <c r="G57">
        <v>0.1</v>
      </c>
      <c r="H57">
        <v>7.0000000000000001E-3</v>
      </c>
      <c r="I57">
        <v>5.0000000000000001E-3</v>
      </c>
      <c r="J57">
        <v>5.0000000000000001E-3</v>
      </c>
      <c r="K57">
        <v>5.0000000000000001E-3</v>
      </c>
      <c r="L57">
        <v>1E-3</v>
      </c>
      <c r="M57">
        <v>1E-3</v>
      </c>
      <c r="N57">
        <v>1E-3</v>
      </c>
      <c r="O57">
        <v>1E-3</v>
      </c>
      <c r="P57">
        <v>5.0000000000000001E-3</v>
      </c>
      <c r="Q57">
        <v>1.0000000000000001E-5</v>
      </c>
      <c r="R57">
        <v>2.5000000000000001E-3</v>
      </c>
      <c r="S57">
        <v>1.0000000000000001E-5</v>
      </c>
      <c r="T57">
        <v>1.4999999999999999E-4</v>
      </c>
      <c r="U57">
        <v>1E-4</v>
      </c>
      <c r="V57">
        <v>1.0000000000000001E-5</v>
      </c>
      <c r="W57">
        <v>0.15</v>
      </c>
    </row>
    <row r="58" spans="6:25" x14ac:dyDescent="0.25">
      <c r="F58" t="str">
        <f t="shared" ref="F58:W58" si="10">G3</f>
        <v>High</v>
      </c>
      <c r="G58">
        <f t="shared" si="10"/>
        <v>0.7</v>
      </c>
      <c r="H58" s="16">
        <f t="shared" si="10"/>
        <v>0.25</v>
      </c>
      <c r="I58" s="16">
        <f t="shared" si="10"/>
        <v>0.03</v>
      </c>
      <c r="J58" s="16">
        <f t="shared" si="10"/>
        <v>0.03</v>
      </c>
      <c r="K58" s="16">
        <f t="shared" si="10"/>
        <v>0.03</v>
      </c>
      <c r="L58" s="16">
        <f t="shared" si="10"/>
        <v>0.03</v>
      </c>
      <c r="M58" s="16">
        <f t="shared" si="10"/>
        <v>0.03</v>
      </c>
      <c r="N58" s="16">
        <f t="shared" si="10"/>
        <v>0.01</v>
      </c>
      <c r="O58" s="16">
        <f t="shared" si="10"/>
        <v>0.02</v>
      </c>
      <c r="P58" s="16">
        <f t="shared" si="10"/>
        <v>0.20499999999999999</v>
      </c>
      <c r="Q58" s="16">
        <f t="shared" si="10"/>
        <v>0.01</v>
      </c>
      <c r="R58" s="16">
        <f t="shared" si="10"/>
        <v>0.05</v>
      </c>
      <c r="S58" s="16">
        <f t="shared" si="10"/>
        <v>2.5000000000000001E-2</v>
      </c>
      <c r="T58" s="16">
        <f t="shared" si="10"/>
        <v>2.0000000000000001E-4</v>
      </c>
      <c r="U58" s="16">
        <f t="shared" si="10"/>
        <v>0.1</v>
      </c>
      <c r="V58" s="16">
        <f t="shared" si="10"/>
        <v>0.5</v>
      </c>
      <c r="W58" s="16">
        <f t="shared" si="10"/>
        <v>0.3</v>
      </c>
      <c r="X58" s="17"/>
      <c r="Y58" s="18"/>
    </row>
    <row r="59" spans="6:25" x14ac:dyDescent="0.25">
      <c r="G59">
        <f>G58-G57</f>
        <v>0.6</v>
      </c>
      <c r="H59">
        <f t="shared" ref="H59:W59" si="11">H58-H57</f>
        <v>0.24299999999999999</v>
      </c>
      <c r="I59">
        <f t="shared" si="11"/>
        <v>2.4999999999999998E-2</v>
      </c>
      <c r="J59">
        <f t="shared" si="11"/>
        <v>2.4999999999999998E-2</v>
      </c>
      <c r="K59">
        <f t="shared" si="11"/>
        <v>2.4999999999999998E-2</v>
      </c>
      <c r="L59">
        <f t="shared" si="11"/>
        <v>2.8999999999999998E-2</v>
      </c>
      <c r="M59">
        <f t="shared" si="11"/>
        <v>2.8999999999999998E-2</v>
      </c>
      <c r="N59">
        <f t="shared" si="11"/>
        <v>9.0000000000000011E-3</v>
      </c>
      <c r="O59">
        <f t="shared" si="11"/>
        <v>1.9E-2</v>
      </c>
      <c r="P59">
        <f t="shared" si="11"/>
        <v>0.19999999999999998</v>
      </c>
      <c r="Q59">
        <f t="shared" si="11"/>
        <v>9.9900000000000006E-3</v>
      </c>
      <c r="R59">
        <f t="shared" si="11"/>
        <v>4.7500000000000001E-2</v>
      </c>
      <c r="S59">
        <f t="shared" si="11"/>
        <v>2.4990000000000002E-2</v>
      </c>
      <c r="T59">
        <f t="shared" si="11"/>
        <v>5.0000000000000023E-5</v>
      </c>
      <c r="U59">
        <f t="shared" si="11"/>
        <v>9.9900000000000003E-2</v>
      </c>
      <c r="V59">
        <f t="shared" si="11"/>
        <v>0.49998999999999999</v>
      </c>
      <c r="W59">
        <f t="shared" si="11"/>
        <v>0.15</v>
      </c>
    </row>
    <row r="60" spans="6:25" x14ac:dyDescent="0.25">
      <c r="G60" s="19">
        <f>[1]normalized_results!C54</f>
        <v>1.518997904390234</v>
      </c>
      <c r="H60" s="19">
        <f>[1]normalized_results!D54</f>
        <v>1.6626868953460674</v>
      </c>
      <c r="I60" s="19">
        <f>[1]normalized_results!E54</f>
        <v>0.17219871138357745</v>
      </c>
      <c r="J60" s="19">
        <f>[1]normalized_results!F54</f>
        <v>0.11631965934519806</v>
      </c>
      <c r="K60" s="19">
        <f>[1]normalized_results!G54</f>
        <v>0.12031102020508233</v>
      </c>
      <c r="L60" s="19">
        <f>[1]normalized_results!H54</f>
        <v>0.10252095465816957</v>
      </c>
      <c r="M60" s="19">
        <f>[1]normalized_results!I54</f>
        <v>7.3418232045527887E-2</v>
      </c>
      <c r="N60" s="19">
        <f>[1]normalized_results!J54</f>
        <v>4.1875077364271318E-2</v>
      </c>
      <c r="O60" s="19">
        <f>[1]normalized_results!K54</f>
        <v>4.8101600305690884E-2</v>
      </c>
      <c r="P60" s="19">
        <f>[1]normalized_results!L54</f>
        <v>0.50633263479674495</v>
      </c>
      <c r="Q60" s="19">
        <f>[1]normalized_results!M54</f>
        <v>2.5291315108097123E-2</v>
      </c>
      <c r="R60" s="19">
        <f>[1]normalized_results!N54</f>
        <v>0.2231740915083853</v>
      </c>
      <c r="S60" s="19">
        <f>[1]normalized_results!O54</f>
        <v>0.17212983189902431</v>
      </c>
      <c r="T60" s="19">
        <f>[1]normalized_results!P54</f>
        <v>2.3606048514190903E-4</v>
      </c>
      <c r="U60" s="19">
        <f>[1]normalized_results!Q54</f>
        <v>0.25291315108097434</v>
      </c>
      <c r="V60" s="19">
        <f>[1]normalized_results!R54</f>
        <v>1.2658062703601221</v>
      </c>
      <c r="W60" s="19">
        <f>[1]normalized_results!S54</f>
        <v>0.3797494760975586</v>
      </c>
    </row>
  </sheetData>
  <mergeCells count="1">
    <mergeCell ref="B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montecarlo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Conway, Matthew James</dc:creator>
  <cp:lastModifiedBy>Conway, Matthew James</cp:lastModifiedBy>
  <dcterms:created xsi:type="dcterms:W3CDTF">2025-04-15T18:40:22Z</dcterms:created>
  <dcterms:modified xsi:type="dcterms:W3CDTF">2025-04-15T18:41:10Z</dcterms:modified>
</cp:coreProperties>
</file>